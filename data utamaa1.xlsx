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intosh/Documents/REKAP SEMESTER/SEMESTER 6/METPEN/"/>
    </mc:Choice>
  </mc:AlternateContent>
  <xr:revisionPtr revIDLastSave="0" documentId="8_{CF08DC08-8E71-D84C-95DC-82C14CD25F55}" xr6:coauthVersionLast="47" xr6:coauthVersionMax="47" xr10:uidLastSave="{00000000-0000-0000-0000-000000000000}"/>
  <bookViews>
    <workbookView xWindow="140" yWindow="660" windowWidth="33280" windowHeight="19200" xr2:uid="{00000000-000D-0000-FFFF-FFFF00000000}"/>
  </bookViews>
  <sheets>
    <sheet name="Normalize" sheetId="1" r:id="rId1"/>
    <sheet name="centeroid awal" sheetId="2" r:id="rId2"/>
    <sheet name="iterasi 1" sheetId="3" r:id="rId3"/>
    <sheet name="iterasi 2" sheetId="4" r:id="rId4"/>
    <sheet name="iterasi 3" sheetId="5" r:id="rId5"/>
    <sheet name="iterasi 4" sheetId="6" r:id="rId6"/>
    <sheet name="iterasi 5" sheetId="7" r:id="rId7"/>
    <sheet name="iterasi 6" sheetId="8" r:id="rId8"/>
    <sheet name="iterasi 7" sheetId="9" r:id="rId9"/>
    <sheet name="iterasi 8" sheetId="10" r:id="rId10"/>
  </sheets>
  <definedNames>
    <definedName name="_xlnm._FilterDatabase" localSheetId="9" hidden="1">'iterasi 8'!$B$8:$O$135</definedName>
    <definedName name="_xlnm._FilterDatabase" localSheetId="0" hidden="1">Normalize!$B$1:$F$127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0" l="1"/>
  <c r="S13" i="10"/>
  <c r="S12" i="10"/>
  <c r="S11" i="10"/>
  <c r="S10" i="10"/>
  <c r="S9" i="10"/>
  <c r="S8" i="10"/>
  <c r="S7" i="10"/>
  <c r="S6" i="10"/>
  <c r="S5" i="10"/>
  <c r="S4" i="10"/>
  <c r="S3" i="10"/>
  <c r="S2" i="10"/>
  <c r="N10" i="10"/>
  <c r="M10" i="10"/>
  <c r="H10" i="10"/>
  <c r="I14" i="10"/>
  <c r="H11" i="10"/>
  <c r="O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D4" i="10"/>
  <c r="E4" i="10"/>
  <c r="F4" i="10"/>
  <c r="G4" i="10"/>
  <c r="D3" i="10"/>
  <c r="E3" i="10"/>
  <c r="F3" i="10"/>
  <c r="G3" i="10"/>
  <c r="D2" i="10"/>
  <c r="E2" i="10"/>
  <c r="F2" i="10"/>
  <c r="G2" i="10"/>
  <c r="C4" i="10"/>
  <c r="C3" i="10"/>
  <c r="C2" i="10"/>
  <c r="B4" i="10"/>
  <c r="B3" i="10"/>
  <c r="B2" i="10"/>
  <c r="D4" i="9"/>
  <c r="J30" i="9" s="1"/>
  <c r="E4" i="9"/>
  <c r="F4" i="9"/>
  <c r="J47" i="9" s="1"/>
  <c r="G4" i="9"/>
  <c r="D3" i="9"/>
  <c r="E3" i="9"/>
  <c r="F3" i="9"/>
  <c r="G3" i="9"/>
  <c r="D2" i="9"/>
  <c r="H48" i="9" s="1"/>
  <c r="E2" i="9"/>
  <c r="F2" i="9"/>
  <c r="G2" i="9"/>
  <c r="H19" i="9" s="1"/>
  <c r="C4" i="9"/>
  <c r="C3" i="9"/>
  <c r="C2" i="9"/>
  <c r="B4" i="9"/>
  <c r="B3" i="9"/>
  <c r="B2" i="9"/>
  <c r="D4" i="8"/>
  <c r="E4" i="8"/>
  <c r="F4" i="8"/>
  <c r="G4" i="8"/>
  <c r="D3" i="8"/>
  <c r="E3" i="8"/>
  <c r="F3" i="8"/>
  <c r="G3" i="8"/>
  <c r="D2" i="8"/>
  <c r="E2" i="8"/>
  <c r="F2" i="8"/>
  <c r="G2" i="8"/>
  <c r="C4" i="8"/>
  <c r="C3" i="8"/>
  <c r="C2" i="8"/>
  <c r="B4" i="8"/>
  <c r="B3" i="8"/>
  <c r="B2" i="8"/>
  <c r="D4" i="7"/>
  <c r="E4" i="7"/>
  <c r="F4" i="7"/>
  <c r="G4" i="7"/>
  <c r="D3" i="7"/>
  <c r="E3" i="7"/>
  <c r="F3" i="7"/>
  <c r="G3" i="7"/>
  <c r="D2" i="7"/>
  <c r="E2" i="7"/>
  <c r="F2" i="7"/>
  <c r="G2" i="7"/>
  <c r="C4" i="7"/>
  <c r="C3" i="7"/>
  <c r="C2" i="7"/>
  <c r="B4" i="7"/>
  <c r="B3" i="7"/>
  <c r="B2" i="7"/>
  <c r="D4" i="6"/>
  <c r="E4" i="6"/>
  <c r="F4" i="6"/>
  <c r="G4" i="6"/>
  <c r="C4" i="6"/>
  <c r="D3" i="6"/>
  <c r="E3" i="6"/>
  <c r="F3" i="6"/>
  <c r="G3" i="6"/>
  <c r="C3" i="6"/>
  <c r="D2" i="6"/>
  <c r="E2" i="6"/>
  <c r="F2" i="6"/>
  <c r="G2" i="6"/>
  <c r="C2" i="6"/>
  <c r="B4" i="6"/>
  <c r="B3" i="6"/>
  <c r="B2" i="6"/>
  <c r="D4" i="5"/>
  <c r="E4" i="5"/>
  <c r="F4" i="5"/>
  <c r="G4" i="5"/>
  <c r="C4" i="5"/>
  <c r="D3" i="5"/>
  <c r="E3" i="5"/>
  <c r="F3" i="5"/>
  <c r="G3" i="5"/>
  <c r="C3" i="5"/>
  <c r="D2" i="5"/>
  <c r="E2" i="5"/>
  <c r="F2" i="5"/>
  <c r="G2" i="5"/>
  <c r="C2" i="5"/>
  <c r="B4" i="5"/>
  <c r="B3" i="5"/>
  <c r="B2" i="5"/>
  <c r="D4" i="4"/>
  <c r="E4" i="4"/>
  <c r="F4" i="4"/>
  <c r="G4" i="4"/>
  <c r="C4" i="4"/>
  <c r="D3" i="4"/>
  <c r="E3" i="4"/>
  <c r="F3" i="4"/>
  <c r="I81" i="4" s="1"/>
  <c r="G3" i="4"/>
  <c r="C3" i="4"/>
  <c r="D2" i="4"/>
  <c r="E2" i="4"/>
  <c r="F2" i="4"/>
  <c r="G2" i="4"/>
  <c r="C2" i="4"/>
  <c r="B3" i="4"/>
  <c r="B4" i="4"/>
  <c r="B2" i="4"/>
  <c r="I130" i="4"/>
  <c r="I120" i="4"/>
  <c r="I119" i="4"/>
  <c r="I114" i="4"/>
  <c r="I100" i="4"/>
  <c r="I96" i="4"/>
  <c r="I94" i="4"/>
  <c r="I89" i="4"/>
  <c r="I77" i="4"/>
  <c r="I76" i="4"/>
  <c r="I65" i="4"/>
  <c r="I63" i="4"/>
  <c r="I60" i="4"/>
  <c r="I47" i="4"/>
  <c r="I46" i="4"/>
  <c r="I35" i="4"/>
  <c r="I30" i="4"/>
  <c r="I22" i="4"/>
  <c r="I10" i="4"/>
  <c r="L3" i="3"/>
  <c r="L4" i="3"/>
  <c r="L2" i="3"/>
  <c r="I18" i="3"/>
  <c r="K18" i="3" s="1"/>
  <c r="L18" i="3" s="1"/>
  <c r="L11" i="3"/>
  <c r="L12" i="3"/>
  <c r="L13" i="3"/>
  <c r="L14" i="3"/>
  <c r="L15" i="3"/>
  <c r="L16" i="3"/>
  <c r="L17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J133" i="10" l="1"/>
  <c r="H131" i="10"/>
  <c r="H16" i="10"/>
  <c r="J18" i="10"/>
  <c r="H28" i="10"/>
  <c r="J30" i="10"/>
  <c r="H40" i="10"/>
  <c r="J42" i="10"/>
  <c r="H52" i="10"/>
  <c r="J54" i="10"/>
  <c r="H64" i="10"/>
  <c r="J66" i="10"/>
  <c r="H76" i="10"/>
  <c r="J78" i="10"/>
  <c r="H88" i="10"/>
  <c r="J90" i="10"/>
  <c r="H100" i="10"/>
  <c r="J102" i="10"/>
  <c r="H112" i="10"/>
  <c r="J114" i="10"/>
  <c r="H124" i="10"/>
  <c r="J126" i="10"/>
  <c r="J11" i="10"/>
  <c r="H21" i="10"/>
  <c r="J23" i="10"/>
  <c r="H33" i="10"/>
  <c r="J35" i="10"/>
  <c r="H45" i="10"/>
  <c r="J47" i="10"/>
  <c r="H57" i="10"/>
  <c r="J59" i="10"/>
  <c r="H69" i="10"/>
  <c r="J71" i="10"/>
  <c r="H81" i="10"/>
  <c r="J83" i="10"/>
  <c r="H93" i="10"/>
  <c r="J95" i="10"/>
  <c r="H105" i="10"/>
  <c r="J107" i="10"/>
  <c r="H117" i="10"/>
  <c r="J119" i="10"/>
  <c r="H129" i="10"/>
  <c r="J131" i="10"/>
  <c r="H14" i="10"/>
  <c r="J16" i="10"/>
  <c r="H26" i="10"/>
  <c r="J28" i="10"/>
  <c r="H38" i="10"/>
  <c r="J40" i="10"/>
  <c r="H50" i="10"/>
  <c r="J52" i="10"/>
  <c r="H62" i="10"/>
  <c r="J64" i="10"/>
  <c r="H74" i="10"/>
  <c r="J76" i="10"/>
  <c r="H86" i="10"/>
  <c r="J88" i="10"/>
  <c r="H98" i="10"/>
  <c r="J100" i="10"/>
  <c r="H110" i="10"/>
  <c r="J112" i="10"/>
  <c r="H122" i="10"/>
  <c r="J124" i="10"/>
  <c r="H134" i="10"/>
  <c r="H19" i="10"/>
  <c r="J21" i="10"/>
  <c r="H31" i="10"/>
  <c r="J33" i="10"/>
  <c r="H43" i="10"/>
  <c r="J45" i="10"/>
  <c r="H55" i="10"/>
  <c r="J57" i="10"/>
  <c r="H67" i="10"/>
  <c r="J69" i="10"/>
  <c r="H79" i="10"/>
  <c r="J81" i="10"/>
  <c r="H91" i="10"/>
  <c r="J93" i="10"/>
  <c r="H103" i="10"/>
  <c r="J105" i="10"/>
  <c r="H115" i="10"/>
  <c r="J117" i="10"/>
  <c r="H127" i="10"/>
  <c r="J129" i="10"/>
  <c r="H12" i="10"/>
  <c r="H24" i="10"/>
  <c r="J26" i="10"/>
  <c r="H36" i="10"/>
  <c r="J38" i="10"/>
  <c r="H48" i="10"/>
  <c r="J50" i="10"/>
  <c r="H60" i="10"/>
  <c r="J62" i="10"/>
  <c r="H72" i="10"/>
  <c r="J74" i="10"/>
  <c r="H84" i="10"/>
  <c r="J86" i="10"/>
  <c r="H96" i="10"/>
  <c r="J98" i="10"/>
  <c r="H108" i="10"/>
  <c r="J110" i="10"/>
  <c r="H120" i="10"/>
  <c r="J122" i="10"/>
  <c r="H132" i="10"/>
  <c r="J134" i="10"/>
  <c r="H17" i="10"/>
  <c r="H29" i="10"/>
  <c r="H41" i="10"/>
  <c r="J43" i="10"/>
  <c r="H53" i="10"/>
  <c r="J55" i="10"/>
  <c r="H77" i="10"/>
  <c r="J79" i="10"/>
  <c r="H89" i="10"/>
  <c r="J91" i="10"/>
  <c r="H101" i="10"/>
  <c r="J103" i="10"/>
  <c r="H113" i="10"/>
  <c r="J115" i="10"/>
  <c r="H125" i="10"/>
  <c r="J127" i="10"/>
  <c r="J31" i="10"/>
  <c r="J67" i="10"/>
  <c r="J12" i="10"/>
  <c r="H22" i="10"/>
  <c r="J24" i="10"/>
  <c r="H34" i="10"/>
  <c r="J36" i="10"/>
  <c r="H46" i="10"/>
  <c r="J48" i="10"/>
  <c r="H58" i="10"/>
  <c r="J60" i="10"/>
  <c r="H70" i="10"/>
  <c r="J72" i="10"/>
  <c r="H82" i="10"/>
  <c r="J84" i="10"/>
  <c r="H94" i="10"/>
  <c r="J96" i="10"/>
  <c r="H106" i="10"/>
  <c r="J108" i="10"/>
  <c r="H118" i="10"/>
  <c r="J120" i="10"/>
  <c r="H130" i="10"/>
  <c r="J132" i="10"/>
  <c r="J14" i="10"/>
  <c r="J19" i="10"/>
  <c r="H65" i="10"/>
  <c r="H15" i="10"/>
  <c r="J17" i="10"/>
  <c r="H27" i="10"/>
  <c r="J29" i="10"/>
  <c r="H39" i="10"/>
  <c r="J41" i="10"/>
  <c r="H51" i="10"/>
  <c r="J53" i="10"/>
  <c r="H63" i="10"/>
  <c r="J65" i="10"/>
  <c r="H75" i="10"/>
  <c r="J77" i="10"/>
  <c r="H87" i="10"/>
  <c r="J89" i="10"/>
  <c r="H99" i="10"/>
  <c r="J101" i="10"/>
  <c r="H111" i="10"/>
  <c r="J113" i="10"/>
  <c r="H123" i="10"/>
  <c r="J125" i="10"/>
  <c r="H135" i="10"/>
  <c r="J10" i="10"/>
  <c r="H20" i="10"/>
  <c r="J22" i="10"/>
  <c r="H32" i="10"/>
  <c r="J34" i="10"/>
  <c r="H44" i="10"/>
  <c r="J46" i="10"/>
  <c r="H56" i="10"/>
  <c r="J58" i="10"/>
  <c r="H68" i="10"/>
  <c r="J70" i="10"/>
  <c r="H80" i="10"/>
  <c r="J82" i="10"/>
  <c r="H92" i="10"/>
  <c r="J94" i="10"/>
  <c r="H104" i="10"/>
  <c r="J106" i="10"/>
  <c r="H116" i="10"/>
  <c r="J118" i="10"/>
  <c r="H128" i="10"/>
  <c r="J130" i="10"/>
  <c r="H13" i="10"/>
  <c r="J15" i="10"/>
  <c r="H25" i="10"/>
  <c r="J27" i="10"/>
  <c r="H37" i="10"/>
  <c r="J39" i="10"/>
  <c r="H49" i="10"/>
  <c r="J51" i="10"/>
  <c r="H61" i="10"/>
  <c r="J63" i="10"/>
  <c r="H73" i="10"/>
  <c r="J75" i="10"/>
  <c r="H85" i="10"/>
  <c r="J87" i="10"/>
  <c r="H97" i="10"/>
  <c r="J99" i="10"/>
  <c r="H109" i="10"/>
  <c r="J111" i="10"/>
  <c r="H121" i="10"/>
  <c r="J123" i="10"/>
  <c r="H133" i="10"/>
  <c r="J135" i="10"/>
  <c r="H18" i="10"/>
  <c r="J20" i="10"/>
  <c r="H30" i="10"/>
  <c r="J32" i="10"/>
  <c r="H42" i="10"/>
  <c r="J44" i="10"/>
  <c r="H54" i="10"/>
  <c r="J56" i="10"/>
  <c r="H66" i="10"/>
  <c r="J68" i="10"/>
  <c r="H78" i="10"/>
  <c r="J80" i="10"/>
  <c r="H90" i="10"/>
  <c r="J92" i="10"/>
  <c r="H102" i="10"/>
  <c r="J104" i="10"/>
  <c r="H114" i="10"/>
  <c r="J116" i="10"/>
  <c r="H126" i="10"/>
  <c r="J128" i="10"/>
  <c r="J13" i="10"/>
  <c r="H23" i="10"/>
  <c r="J25" i="10"/>
  <c r="H35" i="10"/>
  <c r="J37" i="10"/>
  <c r="H47" i="10"/>
  <c r="J49" i="10"/>
  <c r="H59" i="10"/>
  <c r="J61" i="10"/>
  <c r="H71" i="10"/>
  <c r="J73" i="10"/>
  <c r="H83" i="10"/>
  <c r="J85" i="10"/>
  <c r="H95" i="10"/>
  <c r="J97" i="10"/>
  <c r="H107" i="10"/>
  <c r="J109" i="10"/>
  <c r="H119" i="10"/>
  <c r="J121" i="10"/>
  <c r="J126" i="9"/>
  <c r="H129" i="9"/>
  <c r="J64" i="9"/>
  <c r="J107" i="9"/>
  <c r="H79" i="9"/>
  <c r="H81" i="9"/>
  <c r="H86" i="9"/>
  <c r="H88" i="9"/>
  <c r="H93" i="9"/>
  <c r="H12" i="9"/>
  <c r="H112" i="9"/>
  <c r="H14" i="9"/>
  <c r="H24" i="9"/>
  <c r="H115" i="9"/>
  <c r="H31" i="9"/>
  <c r="H122" i="9"/>
  <c r="H36" i="9"/>
  <c r="J14" i="9"/>
  <c r="H21" i="9"/>
  <c r="H38" i="9"/>
  <c r="H55" i="9"/>
  <c r="H67" i="9"/>
  <c r="J81" i="9"/>
  <c r="J88" i="9"/>
  <c r="H110" i="9"/>
  <c r="J131" i="9"/>
  <c r="J42" i="9"/>
  <c r="H16" i="9"/>
  <c r="J26" i="9"/>
  <c r="H33" i="9"/>
  <c r="H50" i="9"/>
  <c r="H76" i="9"/>
  <c r="H103" i="9"/>
  <c r="J117" i="9"/>
  <c r="J124" i="9"/>
  <c r="J59" i="9"/>
  <c r="J100" i="9"/>
  <c r="J21" i="9"/>
  <c r="H28" i="9"/>
  <c r="J38" i="9"/>
  <c r="H45" i="9"/>
  <c r="H62" i="9"/>
  <c r="H69" i="9"/>
  <c r="J83" i="9"/>
  <c r="J90" i="9"/>
  <c r="J129" i="9"/>
  <c r="H120" i="9"/>
  <c r="H96" i="9"/>
  <c r="H132" i="9"/>
  <c r="H72" i="9"/>
  <c r="H108" i="9"/>
  <c r="H131" i="9"/>
  <c r="J16" i="9"/>
  <c r="J33" i="9"/>
  <c r="H40" i="9"/>
  <c r="J50" i="9"/>
  <c r="H57" i="9"/>
  <c r="J76" i="9"/>
  <c r="H105" i="9"/>
  <c r="J119" i="9"/>
  <c r="J133" i="9"/>
  <c r="J121" i="9"/>
  <c r="J109" i="9"/>
  <c r="J97" i="9"/>
  <c r="J85" i="9"/>
  <c r="J73" i="9"/>
  <c r="J61" i="9"/>
  <c r="J49" i="9"/>
  <c r="J37" i="9"/>
  <c r="J25" i="9"/>
  <c r="J13" i="9"/>
  <c r="J79" i="9"/>
  <c r="J55" i="9"/>
  <c r="J134" i="9"/>
  <c r="J98" i="9"/>
  <c r="J128" i="9"/>
  <c r="J116" i="9"/>
  <c r="J104" i="9"/>
  <c r="J92" i="9"/>
  <c r="J80" i="9"/>
  <c r="J68" i="9"/>
  <c r="J56" i="9"/>
  <c r="J44" i="9"/>
  <c r="J32" i="9"/>
  <c r="J20" i="9"/>
  <c r="J135" i="9"/>
  <c r="J123" i="9"/>
  <c r="J111" i="9"/>
  <c r="J99" i="9"/>
  <c r="J87" i="9"/>
  <c r="J75" i="9"/>
  <c r="J63" i="9"/>
  <c r="J51" i="9"/>
  <c r="J39" i="9"/>
  <c r="J27" i="9"/>
  <c r="J15" i="9"/>
  <c r="J127" i="9"/>
  <c r="J110" i="9"/>
  <c r="J130" i="9"/>
  <c r="J118" i="9"/>
  <c r="J106" i="9"/>
  <c r="J94" i="9"/>
  <c r="J82" i="9"/>
  <c r="J70" i="9"/>
  <c r="J58" i="9"/>
  <c r="J46" i="9"/>
  <c r="J34" i="9"/>
  <c r="J22" i="9"/>
  <c r="J10" i="9"/>
  <c r="J103" i="9"/>
  <c r="J91" i="9"/>
  <c r="J86" i="9"/>
  <c r="J74" i="9"/>
  <c r="J125" i="9"/>
  <c r="J113" i="9"/>
  <c r="J101" i="9"/>
  <c r="J89" i="9"/>
  <c r="J77" i="9"/>
  <c r="J65" i="9"/>
  <c r="J53" i="9"/>
  <c r="J41" i="9"/>
  <c r="J29" i="9"/>
  <c r="J17" i="9"/>
  <c r="J132" i="9"/>
  <c r="J120" i="9"/>
  <c r="J108" i="9"/>
  <c r="J96" i="9"/>
  <c r="J84" i="9"/>
  <c r="J72" i="9"/>
  <c r="J60" i="9"/>
  <c r="J48" i="9"/>
  <c r="J36" i="9"/>
  <c r="J24" i="9"/>
  <c r="J12" i="9"/>
  <c r="J115" i="9"/>
  <c r="J67" i="9"/>
  <c r="J43" i="9"/>
  <c r="J31" i="9"/>
  <c r="J19" i="9"/>
  <c r="J102" i="9"/>
  <c r="J11" i="9"/>
  <c r="J28" i="9"/>
  <c r="J45" i="9"/>
  <c r="H52" i="9"/>
  <c r="J62" i="9"/>
  <c r="J69" i="9"/>
  <c r="H98" i="9"/>
  <c r="J112" i="9"/>
  <c r="J54" i="9"/>
  <c r="J66" i="9"/>
  <c r="J93" i="9"/>
  <c r="J122" i="9"/>
  <c r="H26" i="9"/>
  <c r="H43" i="9"/>
  <c r="H124" i="9"/>
  <c r="J23" i="9"/>
  <c r="J40" i="9"/>
  <c r="J57" i="9"/>
  <c r="J78" i="9"/>
  <c r="H91" i="9"/>
  <c r="J105" i="9"/>
  <c r="H134" i="9"/>
  <c r="H60" i="9"/>
  <c r="H74" i="9"/>
  <c r="J95" i="9"/>
  <c r="H117" i="9"/>
  <c r="H64" i="9"/>
  <c r="H84" i="9"/>
  <c r="J18" i="9"/>
  <c r="J35" i="9"/>
  <c r="J52" i="9"/>
  <c r="J71" i="9"/>
  <c r="H100" i="9"/>
  <c r="J114" i="9"/>
  <c r="H127" i="9"/>
  <c r="H125" i="9"/>
  <c r="H10" i="9"/>
  <c r="H22" i="9"/>
  <c r="H34" i="9"/>
  <c r="H46" i="9"/>
  <c r="H58" i="9"/>
  <c r="H70" i="9"/>
  <c r="H82" i="9"/>
  <c r="H94" i="9"/>
  <c r="H106" i="9"/>
  <c r="H118" i="9"/>
  <c r="H130" i="9"/>
  <c r="H113" i="9"/>
  <c r="H15" i="9"/>
  <c r="H27" i="9"/>
  <c r="H39" i="9"/>
  <c r="H51" i="9"/>
  <c r="H63" i="9"/>
  <c r="H75" i="9"/>
  <c r="H87" i="9"/>
  <c r="H99" i="9"/>
  <c r="H111" i="9"/>
  <c r="H123" i="9"/>
  <c r="H135" i="9"/>
  <c r="H53" i="9"/>
  <c r="H20" i="9"/>
  <c r="H32" i="9"/>
  <c r="H44" i="9"/>
  <c r="H56" i="9"/>
  <c r="H68" i="9"/>
  <c r="H80" i="9"/>
  <c r="H92" i="9"/>
  <c r="H104" i="9"/>
  <c r="H116" i="9"/>
  <c r="H128" i="9"/>
  <c r="H41" i="9"/>
  <c r="H101" i="9"/>
  <c r="H13" i="9"/>
  <c r="H25" i="9"/>
  <c r="H37" i="9"/>
  <c r="H49" i="9"/>
  <c r="H61" i="9"/>
  <c r="H73" i="9"/>
  <c r="H85" i="9"/>
  <c r="H97" i="9"/>
  <c r="H109" i="9"/>
  <c r="H121" i="9"/>
  <c r="H133" i="9"/>
  <c r="H18" i="9"/>
  <c r="H30" i="9"/>
  <c r="H42" i="9"/>
  <c r="H54" i="9"/>
  <c r="H66" i="9"/>
  <c r="H78" i="9"/>
  <c r="H90" i="9"/>
  <c r="H102" i="9"/>
  <c r="H114" i="9"/>
  <c r="H126" i="9"/>
  <c r="H17" i="9"/>
  <c r="H29" i="9"/>
  <c r="H65" i="9"/>
  <c r="H77" i="9"/>
  <c r="H89" i="9"/>
  <c r="H11" i="9"/>
  <c r="H23" i="9"/>
  <c r="H35" i="9"/>
  <c r="H47" i="9"/>
  <c r="H59" i="9"/>
  <c r="H71" i="9"/>
  <c r="H83" i="9"/>
  <c r="H95" i="9"/>
  <c r="H107" i="9"/>
  <c r="H119" i="9"/>
  <c r="J133" i="8"/>
  <c r="J21" i="8"/>
  <c r="J33" i="8"/>
  <c r="J45" i="8"/>
  <c r="J57" i="8"/>
  <c r="J69" i="8"/>
  <c r="J81" i="8"/>
  <c r="J93" i="8"/>
  <c r="J105" i="8"/>
  <c r="J117" i="8"/>
  <c r="J129" i="8"/>
  <c r="J66" i="8"/>
  <c r="J114" i="8"/>
  <c r="J14" i="8"/>
  <c r="J26" i="8"/>
  <c r="J38" i="8"/>
  <c r="J50" i="8"/>
  <c r="J62" i="8"/>
  <c r="J74" i="8"/>
  <c r="J86" i="8"/>
  <c r="J98" i="8"/>
  <c r="J110" i="8"/>
  <c r="J122" i="8"/>
  <c r="J134" i="8"/>
  <c r="J52" i="8"/>
  <c r="J19" i="8"/>
  <c r="J31" i="8"/>
  <c r="J43" i="8"/>
  <c r="J55" i="8"/>
  <c r="J67" i="8"/>
  <c r="J79" i="8"/>
  <c r="J91" i="8"/>
  <c r="J103" i="8"/>
  <c r="J115" i="8"/>
  <c r="J127" i="8"/>
  <c r="J54" i="8"/>
  <c r="J23" i="8"/>
  <c r="J59" i="8"/>
  <c r="J95" i="8"/>
  <c r="J107" i="8"/>
  <c r="J12" i="8"/>
  <c r="J24" i="8"/>
  <c r="J36" i="8"/>
  <c r="J48" i="8"/>
  <c r="J60" i="8"/>
  <c r="J72" i="8"/>
  <c r="J84" i="8"/>
  <c r="J96" i="8"/>
  <c r="J108" i="8"/>
  <c r="J120" i="8"/>
  <c r="J132" i="8"/>
  <c r="J126" i="8"/>
  <c r="J83" i="8"/>
  <c r="J40" i="8"/>
  <c r="J112" i="8"/>
  <c r="J17" i="8"/>
  <c r="J29" i="8"/>
  <c r="J41" i="8"/>
  <c r="J53" i="8"/>
  <c r="J65" i="8"/>
  <c r="J77" i="8"/>
  <c r="J89" i="8"/>
  <c r="J101" i="8"/>
  <c r="J113" i="8"/>
  <c r="J125" i="8"/>
  <c r="J30" i="8"/>
  <c r="J11" i="8"/>
  <c r="J47" i="8"/>
  <c r="J71" i="8"/>
  <c r="J28" i="8"/>
  <c r="J10" i="8"/>
  <c r="J22" i="8"/>
  <c r="J34" i="8"/>
  <c r="J46" i="8"/>
  <c r="J58" i="8"/>
  <c r="J70" i="8"/>
  <c r="J82" i="8"/>
  <c r="J94" i="8"/>
  <c r="J106" i="8"/>
  <c r="J118" i="8"/>
  <c r="J130" i="8"/>
  <c r="J35" i="8"/>
  <c r="J119" i="8"/>
  <c r="J131" i="8"/>
  <c r="J16" i="8"/>
  <c r="J76" i="8"/>
  <c r="J15" i="8"/>
  <c r="J27" i="8"/>
  <c r="J39" i="8"/>
  <c r="J51" i="8"/>
  <c r="J63" i="8"/>
  <c r="J75" i="8"/>
  <c r="J87" i="8"/>
  <c r="J99" i="8"/>
  <c r="J111" i="8"/>
  <c r="J123" i="8"/>
  <c r="J135" i="8"/>
  <c r="J18" i="8"/>
  <c r="J78" i="8"/>
  <c r="J20" i="8"/>
  <c r="J32" i="8"/>
  <c r="J44" i="8"/>
  <c r="J56" i="8"/>
  <c r="J68" i="8"/>
  <c r="J80" i="8"/>
  <c r="J92" i="8"/>
  <c r="J104" i="8"/>
  <c r="J116" i="8"/>
  <c r="J128" i="8"/>
  <c r="J42" i="8"/>
  <c r="J90" i="8"/>
  <c r="J102" i="8"/>
  <c r="J64" i="8"/>
  <c r="J88" i="8"/>
  <c r="J100" i="8"/>
  <c r="J124" i="8"/>
  <c r="J13" i="8"/>
  <c r="J25" i="8"/>
  <c r="J37" i="8"/>
  <c r="J49" i="8"/>
  <c r="J61" i="8"/>
  <c r="J73" i="8"/>
  <c r="J85" i="8"/>
  <c r="J97" i="8"/>
  <c r="J109" i="8"/>
  <c r="J121" i="8"/>
  <c r="J40" i="7"/>
  <c r="J54" i="7"/>
  <c r="J45" i="7"/>
  <c r="J47" i="7"/>
  <c r="J131" i="7"/>
  <c r="J71" i="7"/>
  <c r="J88" i="7"/>
  <c r="J90" i="7"/>
  <c r="J78" i="7"/>
  <c r="J107" i="7"/>
  <c r="J11" i="7"/>
  <c r="J119" i="7"/>
  <c r="J18" i="7"/>
  <c r="J126" i="7"/>
  <c r="J33" i="7"/>
  <c r="J35" i="7"/>
  <c r="J102" i="7"/>
  <c r="J100" i="7"/>
  <c r="J28" i="7"/>
  <c r="J64" i="7"/>
  <c r="J83" i="7"/>
  <c r="J133" i="7"/>
  <c r="J121" i="7"/>
  <c r="J109" i="7"/>
  <c r="J97" i="7"/>
  <c r="J85" i="7"/>
  <c r="J73" i="7"/>
  <c r="J61" i="7"/>
  <c r="J49" i="7"/>
  <c r="J37" i="7"/>
  <c r="J25" i="7"/>
  <c r="J13" i="7"/>
  <c r="J15" i="7"/>
  <c r="J31" i="7"/>
  <c r="J128" i="7"/>
  <c r="J116" i="7"/>
  <c r="J104" i="7"/>
  <c r="J92" i="7"/>
  <c r="J80" i="7"/>
  <c r="J68" i="7"/>
  <c r="J56" i="7"/>
  <c r="J44" i="7"/>
  <c r="J32" i="7"/>
  <c r="J20" i="7"/>
  <c r="J127" i="7"/>
  <c r="J62" i="7"/>
  <c r="J26" i="7"/>
  <c r="J135" i="7"/>
  <c r="J123" i="7"/>
  <c r="J111" i="7"/>
  <c r="J99" i="7"/>
  <c r="J87" i="7"/>
  <c r="J75" i="7"/>
  <c r="J63" i="7"/>
  <c r="J51" i="7"/>
  <c r="J39" i="7"/>
  <c r="J27" i="7"/>
  <c r="J79" i="7"/>
  <c r="J134" i="7"/>
  <c r="J86" i="7"/>
  <c r="J74" i="7"/>
  <c r="J38" i="7"/>
  <c r="J129" i="7"/>
  <c r="J130" i="7"/>
  <c r="J118" i="7"/>
  <c r="J106" i="7"/>
  <c r="J94" i="7"/>
  <c r="J82" i="7"/>
  <c r="J70" i="7"/>
  <c r="J58" i="7"/>
  <c r="J46" i="7"/>
  <c r="J34" i="7"/>
  <c r="J22" i="7"/>
  <c r="J10" i="7"/>
  <c r="J103" i="7"/>
  <c r="J67" i="7"/>
  <c r="J55" i="7"/>
  <c r="J43" i="7"/>
  <c r="J110" i="7"/>
  <c r="J105" i="7"/>
  <c r="J81" i="7"/>
  <c r="J125" i="7"/>
  <c r="J113" i="7"/>
  <c r="J101" i="7"/>
  <c r="J89" i="7"/>
  <c r="J77" i="7"/>
  <c r="J65" i="7"/>
  <c r="J53" i="7"/>
  <c r="J41" i="7"/>
  <c r="J29" i="7"/>
  <c r="J17" i="7"/>
  <c r="J91" i="7"/>
  <c r="J19" i="7"/>
  <c r="J122" i="7"/>
  <c r="J132" i="7"/>
  <c r="J120" i="7"/>
  <c r="J108" i="7"/>
  <c r="J96" i="7"/>
  <c r="J84" i="7"/>
  <c r="J72" i="7"/>
  <c r="J60" i="7"/>
  <c r="J48" i="7"/>
  <c r="J36" i="7"/>
  <c r="J24" i="7"/>
  <c r="J12" i="7"/>
  <c r="J115" i="7"/>
  <c r="J98" i="7"/>
  <c r="J50" i="7"/>
  <c r="J14" i="7"/>
  <c r="J117" i="7"/>
  <c r="J93" i="7"/>
  <c r="J69" i="7"/>
  <c r="J21" i="7"/>
  <c r="J57" i="7"/>
  <c r="J112" i="7"/>
  <c r="J30" i="7"/>
  <c r="J66" i="7"/>
  <c r="J114" i="7"/>
  <c r="J42" i="7"/>
  <c r="J23" i="7"/>
  <c r="J59" i="7"/>
  <c r="J95" i="7"/>
  <c r="J16" i="7"/>
  <c r="J52" i="7"/>
  <c r="J76" i="7"/>
  <c r="J124" i="7"/>
  <c r="J76" i="6"/>
  <c r="J112" i="6"/>
  <c r="J129" i="6"/>
  <c r="J105" i="6"/>
  <c r="J33" i="6"/>
  <c r="J40" i="6"/>
  <c r="J69" i="6"/>
  <c r="J71" i="6"/>
  <c r="J28" i="6"/>
  <c r="J64" i="6"/>
  <c r="J100" i="6"/>
  <c r="J133" i="6"/>
  <c r="J121" i="6"/>
  <c r="J109" i="6"/>
  <c r="J97" i="6"/>
  <c r="J85" i="6"/>
  <c r="J73" i="6"/>
  <c r="J61" i="6"/>
  <c r="J49" i="6"/>
  <c r="J37" i="6"/>
  <c r="J25" i="6"/>
  <c r="J13" i="6"/>
  <c r="J27" i="6"/>
  <c r="J79" i="6"/>
  <c r="J67" i="6"/>
  <c r="J55" i="6"/>
  <c r="J19" i="6"/>
  <c r="J134" i="6"/>
  <c r="J128" i="6"/>
  <c r="J116" i="6"/>
  <c r="J104" i="6"/>
  <c r="J92" i="6"/>
  <c r="J80" i="6"/>
  <c r="J68" i="6"/>
  <c r="J56" i="6"/>
  <c r="J44" i="6"/>
  <c r="J32" i="6"/>
  <c r="J20" i="6"/>
  <c r="J110" i="6"/>
  <c r="J38" i="6"/>
  <c r="J135" i="6"/>
  <c r="J123" i="6"/>
  <c r="J111" i="6"/>
  <c r="J99" i="6"/>
  <c r="J87" i="6"/>
  <c r="J75" i="6"/>
  <c r="J63" i="6"/>
  <c r="J51" i="6"/>
  <c r="J39" i="6"/>
  <c r="J15" i="6"/>
  <c r="J115" i="6"/>
  <c r="J130" i="6"/>
  <c r="J118" i="6"/>
  <c r="J106" i="6"/>
  <c r="J94" i="6"/>
  <c r="J82" i="6"/>
  <c r="J70" i="6"/>
  <c r="J58" i="6"/>
  <c r="J46" i="6"/>
  <c r="J34" i="6"/>
  <c r="J22" i="6"/>
  <c r="J10" i="6"/>
  <c r="J127" i="6"/>
  <c r="J91" i="6"/>
  <c r="J122" i="6"/>
  <c r="J86" i="6"/>
  <c r="J74" i="6"/>
  <c r="J62" i="6"/>
  <c r="J50" i="6"/>
  <c r="J26" i="6"/>
  <c r="J14" i="6"/>
  <c r="J125" i="6"/>
  <c r="J113" i="6"/>
  <c r="J101" i="6"/>
  <c r="J89" i="6"/>
  <c r="J77" i="6"/>
  <c r="J65" i="6"/>
  <c r="J53" i="6"/>
  <c r="J41" i="6"/>
  <c r="J29" i="6"/>
  <c r="J17" i="6"/>
  <c r="J103" i="6"/>
  <c r="J31" i="6"/>
  <c r="J132" i="6"/>
  <c r="J120" i="6"/>
  <c r="J108" i="6"/>
  <c r="J96" i="6"/>
  <c r="J84" i="6"/>
  <c r="J72" i="6"/>
  <c r="J60" i="6"/>
  <c r="J48" i="6"/>
  <c r="J36" i="6"/>
  <c r="J24" i="6"/>
  <c r="J12" i="6"/>
  <c r="J43" i="6"/>
  <c r="J98" i="6"/>
  <c r="J21" i="6"/>
  <c r="J57" i="6"/>
  <c r="J93" i="6"/>
  <c r="J30" i="6"/>
  <c r="J66" i="6"/>
  <c r="J102" i="6"/>
  <c r="J131" i="6"/>
  <c r="J23" i="6"/>
  <c r="J59" i="6"/>
  <c r="J95" i="6"/>
  <c r="J124" i="6"/>
  <c r="J42" i="6"/>
  <c r="J78" i="6"/>
  <c r="J35" i="6"/>
  <c r="J107" i="6"/>
  <c r="J16" i="6"/>
  <c r="J52" i="6"/>
  <c r="J45" i="6"/>
  <c r="J81" i="6"/>
  <c r="J117" i="6"/>
  <c r="J126" i="6"/>
  <c r="J114" i="6"/>
  <c r="J18" i="6"/>
  <c r="J54" i="6"/>
  <c r="J90" i="6"/>
  <c r="J88" i="6"/>
  <c r="J11" i="6"/>
  <c r="J47" i="6"/>
  <c r="J83" i="6"/>
  <c r="J119" i="6"/>
  <c r="J47" i="5"/>
  <c r="J54" i="5"/>
  <c r="J18" i="5"/>
  <c r="J28" i="5"/>
  <c r="J83" i="5"/>
  <c r="J126" i="5"/>
  <c r="J30" i="5"/>
  <c r="J114" i="5"/>
  <c r="J11" i="5"/>
  <c r="J59" i="5"/>
  <c r="J71" i="5"/>
  <c r="J16" i="5"/>
  <c r="J40" i="5"/>
  <c r="J102" i="5"/>
  <c r="J78" i="5"/>
  <c r="J133" i="5"/>
  <c r="J121" i="5"/>
  <c r="J109" i="5"/>
  <c r="J97" i="5"/>
  <c r="J85" i="5"/>
  <c r="J73" i="5"/>
  <c r="J61" i="5"/>
  <c r="J49" i="5"/>
  <c r="J37" i="5"/>
  <c r="J25" i="5"/>
  <c r="J13" i="5"/>
  <c r="J50" i="5"/>
  <c r="J69" i="5"/>
  <c r="J57" i="5"/>
  <c r="J45" i="5"/>
  <c r="J21" i="5"/>
  <c r="J112" i="5"/>
  <c r="J76" i="5"/>
  <c r="J64" i="5"/>
  <c r="J128" i="5"/>
  <c r="J116" i="5"/>
  <c r="J104" i="5"/>
  <c r="J92" i="5"/>
  <c r="J80" i="5"/>
  <c r="J68" i="5"/>
  <c r="J56" i="5"/>
  <c r="J44" i="5"/>
  <c r="J32" i="5"/>
  <c r="J20" i="5"/>
  <c r="J134" i="5"/>
  <c r="J33" i="5"/>
  <c r="J135" i="5"/>
  <c r="J123" i="5"/>
  <c r="J111" i="5"/>
  <c r="J99" i="5"/>
  <c r="J87" i="5"/>
  <c r="J75" i="5"/>
  <c r="J63" i="5"/>
  <c r="J51" i="5"/>
  <c r="J39" i="5"/>
  <c r="J27" i="5"/>
  <c r="J15" i="5"/>
  <c r="J26" i="5"/>
  <c r="J14" i="5"/>
  <c r="J93" i="5"/>
  <c r="J81" i="5"/>
  <c r="J130" i="5"/>
  <c r="J118" i="5"/>
  <c r="J106" i="5"/>
  <c r="J94" i="5"/>
  <c r="J82" i="5"/>
  <c r="J70" i="5"/>
  <c r="J58" i="5"/>
  <c r="J46" i="5"/>
  <c r="J34" i="5"/>
  <c r="J22" i="5"/>
  <c r="J10" i="5"/>
  <c r="J110" i="5"/>
  <c r="J117" i="5"/>
  <c r="J105" i="5"/>
  <c r="J125" i="5"/>
  <c r="J113" i="5"/>
  <c r="J101" i="5"/>
  <c r="J89" i="5"/>
  <c r="J77" i="5"/>
  <c r="J65" i="5"/>
  <c r="J53" i="5"/>
  <c r="J41" i="5"/>
  <c r="J29" i="5"/>
  <c r="J17" i="5"/>
  <c r="J122" i="5"/>
  <c r="J98" i="5"/>
  <c r="J129" i="5"/>
  <c r="J100" i="5"/>
  <c r="J88" i="5"/>
  <c r="J132" i="5"/>
  <c r="J120" i="5"/>
  <c r="J108" i="5"/>
  <c r="J96" i="5"/>
  <c r="J84" i="5"/>
  <c r="J72" i="5"/>
  <c r="J60" i="5"/>
  <c r="J48" i="5"/>
  <c r="J36" i="5"/>
  <c r="J24" i="5"/>
  <c r="J12" i="5"/>
  <c r="J124" i="5"/>
  <c r="J127" i="5"/>
  <c r="J115" i="5"/>
  <c r="J103" i="5"/>
  <c r="J91" i="5"/>
  <c r="J79" i="5"/>
  <c r="J67" i="5"/>
  <c r="J55" i="5"/>
  <c r="J43" i="5"/>
  <c r="J31" i="5"/>
  <c r="J19" i="5"/>
  <c r="J86" i="5"/>
  <c r="J74" i="5"/>
  <c r="J62" i="5"/>
  <c r="J38" i="5"/>
  <c r="J35" i="5"/>
  <c r="J107" i="5"/>
  <c r="J66" i="5"/>
  <c r="J23" i="5"/>
  <c r="J90" i="5"/>
  <c r="J95" i="5"/>
  <c r="J42" i="5"/>
  <c r="J131" i="5"/>
  <c r="J52" i="5"/>
  <c r="J119" i="5"/>
  <c r="J108" i="4"/>
  <c r="J34" i="4"/>
  <c r="J58" i="4"/>
  <c r="J88" i="4"/>
  <c r="J130" i="4"/>
  <c r="J87" i="4"/>
  <c r="J119" i="4"/>
  <c r="J118" i="4"/>
  <c r="J10" i="4"/>
  <c r="J35" i="4"/>
  <c r="J57" i="4"/>
  <c r="J15" i="4"/>
  <c r="J39" i="4"/>
  <c r="J63" i="4"/>
  <c r="J120" i="4"/>
  <c r="J52" i="4"/>
  <c r="J16" i="4"/>
  <c r="J41" i="4"/>
  <c r="J96" i="4"/>
  <c r="J127" i="4"/>
  <c r="J17" i="4"/>
  <c r="J45" i="4"/>
  <c r="J65" i="4"/>
  <c r="J99" i="4"/>
  <c r="J132" i="4"/>
  <c r="J21" i="4"/>
  <c r="J69" i="4"/>
  <c r="J117" i="4"/>
  <c r="J82" i="4"/>
  <c r="J46" i="4"/>
  <c r="J71" i="4"/>
  <c r="J100" i="4"/>
  <c r="J28" i="4"/>
  <c r="J23" i="4"/>
  <c r="J102" i="4"/>
  <c r="J27" i="4"/>
  <c r="J47" i="4"/>
  <c r="I33" i="4"/>
  <c r="I48" i="4"/>
  <c r="I51" i="4"/>
  <c r="I72" i="4"/>
  <c r="I133" i="4"/>
  <c r="I18" i="4"/>
  <c r="I36" i="4"/>
  <c r="I78" i="4"/>
  <c r="I21" i="4"/>
  <c r="I59" i="4"/>
  <c r="I11" i="4"/>
  <c r="I24" i="4"/>
  <c r="I39" i="4"/>
  <c r="I52" i="4"/>
  <c r="I121" i="4"/>
  <c r="I15" i="4"/>
  <c r="I27" i="4"/>
  <c r="I66" i="4"/>
  <c r="I83" i="4"/>
  <c r="I101" i="4"/>
  <c r="I126" i="4"/>
  <c r="I40" i="4"/>
  <c r="I54" i="4"/>
  <c r="I69" i="4"/>
  <c r="I87" i="4"/>
  <c r="I131" i="4"/>
  <c r="I16" i="4"/>
  <c r="I28" i="4"/>
  <c r="I41" i="4"/>
  <c r="I57" i="4"/>
  <c r="I107" i="4"/>
  <c r="I132" i="4"/>
  <c r="I70" i="4"/>
  <c r="I88" i="4"/>
  <c r="I17" i="4"/>
  <c r="I29" i="4"/>
  <c r="I58" i="4"/>
  <c r="I71" i="4"/>
  <c r="I112" i="4"/>
  <c r="H127" i="4"/>
  <c r="J107" i="4"/>
  <c r="J125" i="4"/>
  <c r="K125" i="4" s="1"/>
  <c r="L125" i="4" s="1"/>
  <c r="J76" i="4"/>
  <c r="J89" i="4"/>
  <c r="I108" i="4"/>
  <c r="J77" i="4"/>
  <c r="J94" i="4"/>
  <c r="J111" i="4"/>
  <c r="J59" i="4"/>
  <c r="J70" i="4"/>
  <c r="J81" i="4"/>
  <c r="I90" i="4"/>
  <c r="J101" i="4"/>
  <c r="J112" i="4"/>
  <c r="J124" i="4"/>
  <c r="J133" i="4"/>
  <c r="J29" i="4"/>
  <c r="J40" i="4"/>
  <c r="J51" i="4"/>
  <c r="I82" i="4"/>
  <c r="J93" i="4"/>
  <c r="I102" i="4"/>
  <c r="I113" i="4"/>
  <c r="I125" i="4"/>
  <c r="I134" i="4"/>
  <c r="J105" i="4"/>
  <c r="J114" i="4"/>
  <c r="J11" i="4"/>
  <c r="J22" i="4"/>
  <c r="J33" i="4"/>
  <c r="I42" i="4"/>
  <c r="I53" i="4"/>
  <c r="I64" i="4"/>
  <c r="I75" i="4"/>
  <c r="J83" i="4"/>
  <c r="I95" i="4"/>
  <c r="I106" i="4"/>
  <c r="I115" i="4"/>
  <c r="J126" i="4"/>
  <c r="I12" i="4"/>
  <c r="I23" i="4"/>
  <c r="I34" i="4"/>
  <c r="I45" i="4"/>
  <c r="J53" i="4"/>
  <c r="J64" i="4"/>
  <c r="J75" i="4"/>
  <c r="I84" i="4"/>
  <c r="J95" i="4"/>
  <c r="J106" i="4"/>
  <c r="I118" i="4"/>
  <c r="I127" i="4"/>
  <c r="K127" i="4" s="1"/>
  <c r="L127" i="4" s="1"/>
  <c r="J12" i="4"/>
  <c r="J18" i="4"/>
  <c r="J24" i="4"/>
  <c r="J30" i="4"/>
  <c r="J36" i="4"/>
  <c r="J42" i="4"/>
  <c r="J48" i="4"/>
  <c r="J54" i="4"/>
  <c r="J60" i="4"/>
  <c r="J66" i="4"/>
  <c r="J72" i="4"/>
  <c r="J78" i="4"/>
  <c r="J84" i="4"/>
  <c r="J90" i="4"/>
  <c r="I97" i="4"/>
  <c r="I103" i="4"/>
  <c r="I109" i="4"/>
  <c r="J115" i="4"/>
  <c r="J121" i="4"/>
  <c r="I128" i="4"/>
  <c r="J134" i="4"/>
  <c r="I13" i="4"/>
  <c r="I19" i="4"/>
  <c r="I25" i="4"/>
  <c r="I31" i="4"/>
  <c r="I37" i="4"/>
  <c r="I43" i="4"/>
  <c r="I49" i="4"/>
  <c r="I55" i="4"/>
  <c r="I61" i="4"/>
  <c r="I67" i="4"/>
  <c r="I73" i="4"/>
  <c r="I79" i="4"/>
  <c r="I85" i="4"/>
  <c r="I91" i="4"/>
  <c r="J97" i="4"/>
  <c r="J103" i="4"/>
  <c r="J109" i="4"/>
  <c r="I116" i="4"/>
  <c r="I122" i="4"/>
  <c r="J128" i="4"/>
  <c r="I135" i="4"/>
  <c r="J13" i="4"/>
  <c r="J19" i="4"/>
  <c r="J25" i="4"/>
  <c r="J31" i="4"/>
  <c r="J37" i="4"/>
  <c r="J43" i="4"/>
  <c r="J49" i="4"/>
  <c r="J55" i="4"/>
  <c r="J61" i="4"/>
  <c r="J67" i="4"/>
  <c r="J73" i="4"/>
  <c r="J79" i="4"/>
  <c r="J85" i="4"/>
  <c r="J91" i="4"/>
  <c r="I98" i="4"/>
  <c r="I104" i="4"/>
  <c r="I110" i="4"/>
  <c r="J116" i="4"/>
  <c r="I123" i="4"/>
  <c r="I129" i="4"/>
  <c r="J135" i="4"/>
  <c r="I14" i="4"/>
  <c r="I20" i="4"/>
  <c r="I26" i="4"/>
  <c r="I32" i="4"/>
  <c r="I38" i="4"/>
  <c r="I44" i="4"/>
  <c r="I50" i="4"/>
  <c r="I56" i="4"/>
  <c r="I62" i="4"/>
  <c r="I68" i="4"/>
  <c r="I74" i="4"/>
  <c r="I80" i="4"/>
  <c r="I86" i="4"/>
  <c r="I92" i="4"/>
  <c r="J98" i="4"/>
  <c r="J104" i="4"/>
  <c r="J110" i="4"/>
  <c r="I117" i="4"/>
  <c r="J123" i="4"/>
  <c r="J129" i="4"/>
  <c r="J131" i="4"/>
  <c r="J14" i="4"/>
  <c r="J20" i="4"/>
  <c r="J26" i="4"/>
  <c r="J32" i="4"/>
  <c r="J38" i="4"/>
  <c r="J44" i="4"/>
  <c r="J50" i="4"/>
  <c r="J56" i="4"/>
  <c r="J62" i="4"/>
  <c r="J68" i="4"/>
  <c r="J74" i="4"/>
  <c r="J80" i="4"/>
  <c r="J86" i="4"/>
  <c r="I93" i="4"/>
  <c r="I99" i="4"/>
  <c r="I105" i="4"/>
  <c r="I111" i="4"/>
  <c r="I124" i="4"/>
  <c r="H61" i="4"/>
  <c r="H49" i="4"/>
  <c r="H79" i="4"/>
  <c r="K79" i="4" s="1"/>
  <c r="L79" i="4" s="1"/>
  <c r="H19" i="4"/>
  <c r="H15" i="4"/>
  <c r="H58" i="4"/>
  <c r="K58" i="4" s="1"/>
  <c r="L58" i="4" s="1"/>
  <c r="H29" i="4"/>
  <c r="H107" i="4"/>
  <c r="K107" i="4" s="1"/>
  <c r="L107" i="4" s="1"/>
  <c r="H21" i="4"/>
  <c r="K21" i="4" s="1"/>
  <c r="L21" i="4" s="1"/>
  <c r="H34" i="4"/>
  <c r="H38" i="4"/>
  <c r="H51" i="4"/>
  <c r="H55" i="4"/>
  <c r="H68" i="4"/>
  <c r="H86" i="4"/>
  <c r="H95" i="4"/>
  <c r="H121" i="4"/>
  <c r="H130" i="4"/>
  <c r="K130" i="4" s="1"/>
  <c r="L130" i="4" s="1"/>
  <c r="H27" i="4"/>
  <c r="H105" i="4"/>
  <c r="H57" i="4"/>
  <c r="K57" i="4" s="1"/>
  <c r="L57" i="4" s="1"/>
  <c r="H11" i="4"/>
  <c r="H98" i="4"/>
  <c r="H33" i="4"/>
  <c r="H54" i="4"/>
  <c r="H115" i="4"/>
  <c r="H125" i="4"/>
  <c r="H12" i="4"/>
  <c r="H103" i="4"/>
  <c r="H17" i="4"/>
  <c r="H30" i="4"/>
  <c r="H64" i="4"/>
  <c r="H73" i="4"/>
  <c r="H82" i="4"/>
  <c r="H126" i="4"/>
  <c r="H10" i="4"/>
  <c r="H40" i="4"/>
  <c r="H92" i="4"/>
  <c r="H101" i="4"/>
  <c r="H109" i="4"/>
  <c r="H36" i="4"/>
  <c r="H53" i="4"/>
  <c r="H133" i="4"/>
  <c r="K133" i="4" s="1"/>
  <c r="L133" i="4" s="1"/>
  <c r="H45" i="4"/>
  <c r="H84" i="4"/>
  <c r="H41" i="4"/>
  <c r="K41" i="4" s="1"/>
  <c r="L41" i="4" s="1"/>
  <c r="H71" i="4"/>
  <c r="H106" i="4"/>
  <c r="H110" i="4"/>
  <c r="H37" i="4"/>
  <c r="H134" i="4"/>
  <c r="H46" i="4"/>
  <c r="K46" i="4" s="1"/>
  <c r="L46" i="4" s="1"/>
  <c r="H63" i="4"/>
  <c r="K63" i="4" s="1"/>
  <c r="L63" i="4" s="1"/>
  <c r="H42" i="4"/>
  <c r="H111" i="4"/>
  <c r="H13" i="4"/>
  <c r="H26" i="4"/>
  <c r="H60" i="4"/>
  <c r="H91" i="4"/>
  <c r="H100" i="4"/>
  <c r="H104" i="4"/>
  <c r="H108" i="4"/>
  <c r="H117" i="4"/>
  <c r="K117" i="4" s="1"/>
  <c r="L117" i="4" s="1"/>
  <c r="H132" i="4"/>
  <c r="H123" i="4"/>
  <c r="H23" i="4"/>
  <c r="H88" i="4"/>
  <c r="H75" i="4"/>
  <c r="H102" i="4"/>
  <c r="H50" i="4"/>
  <c r="H94" i="4"/>
  <c r="H129" i="4"/>
  <c r="H25" i="4"/>
  <c r="H90" i="4"/>
  <c r="H22" i="4"/>
  <c r="H35" i="4"/>
  <c r="H48" i="4"/>
  <c r="H52" i="4"/>
  <c r="K52" i="4" s="1"/>
  <c r="L52" i="4" s="1"/>
  <c r="H56" i="4"/>
  <c r="H69" i="4"/>
  <c r="H78" i="4"/>
  <c r="H87" i="4"/>
  <c r="K87" i="4" s="1"/>
  <c r="L87" i="4" s="1"/>
  <c r="H96" i="4"/>
  <c r="H122" i="4"/>
  <c r="H14" i="4"/>
  <c r="H114" i="4"/>
  <c r="H119" i="4"/>
  <c r="H67" i="4"/>
  <c r="H76" i="4"/>
  <c r="H99" i="4"/>
  <c r="H18" i="4"/>
  <c r="H31" i="4"/>
  <c r="H44" i="4"/>
  <c r="H65" i="4"/>
  <c r="K65" i="4" s="1"/>
  <c r="L65" i="4" s="1"/>
  <c r="H74" i="4"/>
  <c r="H83" i="4"/>
  <c r="H113" i="4"/>
  <c r="J92" i="4"/>
  <c r="J113" i="4"/>
  <c r="J122" i="4"/>
  <c r="K119" i="4"/>
  <c r="L119" i="4" s="1"/>
  <c r="H59" i="4"/>
  <c r="H72" i="4"/>
  <c r="H80" i="4"/>
  <c r="H118" i="4"/>
  <c r="H131" i="4"/>
  <c r="H135" i="4"/>
  <c r="H16" i="4"/>
  <c r="H20" i="4"/>
  <c r="H24" i="4"/>
  <c r="H39" i="4"/>
  <c r="H43" i="4"/>
  <c r="H77" i="4"/>
  <c r="H81" i="4"/>
  <c r="H85" i="4"/>
  <c r="H112" i="4"/>
  <c r="H116" i="4"/>
  <c r="H120" i="4"/>
  <c r="K120" i="4" s="1"/>
  <c r="L120" i="4" s="1"/>
  <c r="H28" i="4"/>
  <c r="H32" i="4"/>
  <c r="H47" i="4"/>
  <c r="H62" i="4"/>
  <c r="H66" i="4"/>
  <c r="H70" i="4"/>
  <c r="H89" i="4"/>
  <c r="H93" i="4"/>
  <c r="H97" i="4"/>
  <c r="H124" i="4"/>
  <c r="H128" i="4"/>
  <c r="I126" i="10" l="1"/>
  <c r="K126" i="10" s="1"/>
  <c r="L126" i="10" s="1"/>
  <c r="N126" i="10" s="1"/>
  <c r="I114" i="10"/>
  <c r="K114" i="10" s="1"/>
  <c r="L114" i="10" s="1"/>
  <c r="N114" i="10" s="1"/>
  <c r="I102" i="10"/>
  <c r="K102" i="10" s="1"/>
  <c r="L102" i="10" s="1"/>
  <c r="N102" i="10" s="1"/>
  <c r="I90" i="10"/>
  <c r="K90" i="10" s="1"/>
  <c r="L90" i="10" s="1"/>
  <c r="N90" i="10" s="1"/>
  <c r="I78" i="10"/>
  <c r="K78" i="10" s="1"/>
  <c r="L78" i="10" s="1"/>
  <c r="N78" i="10" s="1"/>
  <c r="I66" i="10"/>
  <c r="K66" i="10" s="1"/>
  <c r="L66" i="10" s="1"/>
  <c r="N66" i="10" s="1"/>
  <c r="I54" i="10"/>
  <c r="K54" i="10" s="1"/>
  <c r="L54" i="10" s="1"/>
  <c r="N54" i="10" s="1"/>
  <c r="I42" i="10"/>
  <c r="K42" i="10" s="1"/>
  <c r="L42" i="10" s="1"/>
  <c r="N42" i="10" s="1"/>
  <c r="I30" i="10"/>
  <c r="K30" i="10" s="1"/>
  <c r="L30" i="10" s="1"/>
  <c r="N30" i="10" s="1"/>
  <c r="I18" i="10"/>
  <c r="K18" i="10" s="1"/>
  <c r="L18" i="10" s="1"/>
  <c r="N18" i="10" s="1"/>
  <c r="I133" i="10"/>
  <c r="K133" i="10" s="1"/>
  <c r="L133" i="10" s="1"/>
  <c r="N133" i="10" s="1"/>
  <c r="I121" i="10"/>
  <c r="K121" i="10" s="1"/>
  <c r="L121" i="10" s="1"/>
  <c r="N121" i="10" s="1"/>
  <c r="I109" i="10"/>
  <c r="K109" i="10" s="1"/>
  <c r="L109" i="10" s="1"/>
  <c r="N109" i="10" s="1"/>
  <c r="I97" i="10"/>
  <c r="K97" i="10" s="1"/>
  <c r="L97" i="10" s="1"/>
  <c r="N97" i="10" s="1"/>
  <c r="I85" i="10"/>
  <c r="K85" i="10" s="1"/>
  <c r="L85" i="10" s="1"/>
  <c r="N85" i="10" s="1"/>
  <c r="I73" i="10"/>
  <c r="K73" i="10" s="1"/>
  <c r="L73" i="10" s="1"/>
  <c r="N73" i="10" s="1"/>
  <c r="I61" i="10"/>
  <c r="K61" i="10" s="1"/>
  <c r="L61" i="10" s="1"/>
  <c r="N61" i="10" s="1"/>
  <c r="I49" i="10"/>
  <c r="K49" i="10" s="1"/>
  <c r="L49" i="10" s="1"/>
  <c r="N49" i="10" s="1"/>
  <c r="I37" i="10"/>
  <c r="K37" i="10" s="1"/>
  <c r="L37" i="10" s="1"/>
  <c r="N37" i="10" s="1"/>
  <c r="I25" i="10"/>
  <c r="K25" i="10" s="1"/>
  <c r="L25" i="10" s="1"/>
  <c r="N25" i="10" s="1"/>
  <c r="I13" i="10"/>
  <c r="K13" i="10" s="1"/>
  <c r="L13" i="10" s="1"/>
  <c r="N13" i="10" s="1"/>
  <c r="I128" i="10"/>
  <c r="K128" i="10" s="1"/>
  <c r="L128" i="10" s="1"/>
  <c r="N128" i="10" s="1"/>
  <c r="I116" i="10"/>
  <c r="K116" i="10" s="1"/>
  <c r="L116" i="10" s="1"/>
  <c r="N116" i="10" s="1"/>
  <c r="I104" i="10"/>
  <c r="K104" i="10" s="1"/>
  <c r="L104" i="10" s="1"/>
  <c r="N104" i="10" s="1"/>
  <c r="I92" i="10"/>
  <c r="K92" i="10" s="1"/>
  <c r="L92" i="10" s="1"/>
  <c r="N92" i="10" s="1"/>
  <c r="I80" i="10"/>
  <c r="K80" i="10" s="1"/>
  <c r="L80" i="10" s="1"/>
  <c r="N80" i="10" s="1"/>
  <c r="I68" i="10"/>
  <c r="K68" i="10" s="1"/>
  <c r="L68" i="10" s="1"/>
  <c r="N68" i="10" s="1"/>
  <c r="I56" i="10"/>
  <c r="K56" i="10" s="1"/>
  <c r="L56" i="10" s="1"/>
  <c r="N56" i="10" s="1"/>
  <c r="I44" i="10"/>
  <c r="K44" i="10" s="1"/>
  <c r="L44" i="10" s="1"/>
  <c r="N44" i="10" s="1"/>
  <c r="I32" i="10"/>
  <c r="K32" i="10" s="1"/>
  <c r="L32" i="10" s="1"/>
  <c r="N32" i="10" s="1"/>
  <c r="I20" i="10"/>
  <c r="K20" i="10" s="1"/>
  <c r="L20" i="10" s="1"/>
  <c r="N20" i="10" s="1"/>
  <c r="I135" i="10"/>
  <c r="K135" i="10" s="1"/>
  <c r="L135" i="10" s="1"/>
  <c r="N135" i="10" s="1"/>
  <c r="I123" i="10"/>
  <c r="K123" i="10" s="1"/>
  <c r="L123" i="10" s="1"/>
  <c r="N123" i="10" s="1"/>
  <c r="I111" i="10"/>
  <c r="K111" i="10" s="1"/>
  <c r="L111" i="10" s="1"/>
  <c r="N111" i="10" s="1"/>
  <c r="I99" i="10"/>
  <c r="K99" i="10" s="1"/>
  <c r="L99" i="10" s="1"/>
  <c r="N99" i="10" s="1"/>
  <c r="I87" i="10"/>
  <c r="K87" i="10" s="1"/>
  <c r="L87" i="10" s="1"/>
  <c r="N87" i="10" s="1"/>
  <c r="I75" i="10"/>
  <c r="K75" i="10" s="1"/>
  <c r="L75" i="10" s="1"/>
  <c r="N75" i="10" s="1"/>
  <c r="I63" i="10"/>
  <c r="K63" i="10" s="1"/>
  <c r="L63" i="10" s="1"/>
  <c r="N63" i="10" s="1"/>
  <c r="I51" i="10"/>
  <c r="I39" i="10"/>
  <c r="K39" i="10" s="1"/>
  <c r="L39" i="10" s="1"/>
  <c r="N39" i="10" s="1"/>
  <c r="I27" i="10"/>
  <c r="K27" i="10" s="1"/>
  <c r="L27" i="10" s="1"/>
  <c r="N27" i="10" s="1"/>
  <c r="I15" i="10"/>
  <c r="K15" i="10" s="1"/>
  <c r="L15" i="10" s="1"/>
  <c r="N15" i="10" s="1"/>
  <c r="I60" i="10"/>
  <c r="K60" i="10" s="1"/>
  <c r="L60" i="10" s="1"/>
  <c r="N60" i="10" s="1"/>
  <c r="I24" i="10"/>
  <c r="K24" i="10" s="1"/>
  <c r="L24" i="10" s="1"/>
  <c r="N24" i="10" s="1"/>
  <c r="I130" i="10"/>
  <c r="K130" i="10" s="1"/>
  <c r="L130" i="10" s="1"/>
  <c r="N130" i="10" s="1"/>
  <c r="I118" i="10"/>
  <c r="K118" i="10" s="1"/>
  <c r="L118" i="10" s="1"/>
  <c r="N118" i="10" s="1"/>
  <c r="I106" i="10"/>
  <c r="K106" i="10" s="1"/>
  <c r="L106" i="10" s="1"/>
  <c r="N106" i="10" s="1"/>
  <c r="I94" i="10"/>
  <c r="K94" i="10" s="1"/>
  <c r="L94" i="10" s="1"/>
  <c r="N94" i="10" s="1"/>
  <c r="I82" i="10"/>
  <c r="K82" i="10" s="1"/>
  <c r="L82" i="10" s="1"/>
  <c r="N82" i="10" s="1"/>
  <c r="I70" i="10"/>
  <c r="I58" i="10"/>
  <c r="K58" i="10" s="1"/>
  <c r="L58" i="10" s="1"/>
  <c r="N58" i="10" s="1"/>
  <c r="I46" i="10"/>
  <c r="K46" i="10" s="1"/>
  <c r="L46" i="10" s="1"/>
  <c r="N46" i="10" s="1"/>
  <c r="I34" i="10"/>
  <c r="K34" i="10" s="1"/>
  <c r="L34" i="10" s="1"/>
  <c r="N34" i="10" s="1"/>
  <c r="I22" i="10"/>
  <c r="K22" i="10" s="1"/>
  <c r="L22" i="10" s="1"/>
  <c r="N22" i="10" s="1"/>
  <c r="I10" i="10"/>
  <c r="K10" i="10" s="1"/>
  <c r="L10" i="10" s="1"/>
  <c r="I125" i="10"/>
  <c r="K125" i="10" s="1"/>
  <c r="L125" i="10" s="1"/>
  <c r="N125" i="10" s="1"/>
  <c r="I113" i="10"/>
  <c r="K113" i="10" s="1"/>
  <c r="L113" i="10" s="1"/>
  <c r="N113" i="10" s="1"/>
  <c r="I101" i="10"/>
  <c r="K101" i="10" s="1"/>
  <c r="L101" i="10" s="1"/>
  <c r="N101" i="10" s="1"/>
  <c r="I89" i="10"/>
  <c r="K89" i="10" s="1"/>
  <c r="L89" i="10" s="1"/>
  <c r="N89" i="10" s="1"/>
  <c r="I77" i="10"/>
  <c r="K77" i="10" s="1"/>
  <c r="L77" i="10" s="1"/>
  <c r="N77" i="10" s="1"/>
  <c r="I65" i="10"/>
  <c r="K65" i="10" s="1"/>
  <c r="L65" i="10" s="1"/>
  <c r="N65" i="10" s="1"/>
  <c r="I53" i="10"/>
  <c r="I41" i="10"/>
  <c r="K41" i="10" s="1"/>
  <c r="L41" i="10" s="1"/>
  <c r="N41" i="10" s="1"/>
  <c r="I29" i="10"/>
  <c r="K29" i="10" s="1"/>
  <c r="L29" i="10" s="1"/>
  <c r="N29" i="10" s="1"/>
  <c r="I17" i="10"/>
  <c r="K17" i="10" s="1"/>
  <c r="L17" i="10" s="1"/>
  <c r="N17" i="10" s="1"/>
  <c r="I132" i="10"/>
  <c r="K132" i="10" s="1"/>
  <c r="L132" i="10" s="1"/>
  <c r="N132" i="10" s="1"/>
  <c r="I120" i="10"/>
  <c r="K120" i="10" s="1"/>
  <c r="L120" i="10" s="1"/>
  <c r="N120" i="10" s="1"/>
  <c r="I108" i="10"/>
  <c r="K108" i="10" s="1"/>
  <c r="L108" i="10" s="1"/>
  <c r="N108" i="10" s="1"/>
  <c r="I96" i="10"/>
  <c r="K96" i="10" s="1"/>
  <c r="L96" i="10" s="1"/>
  <c r="N96" i="10" s="1"/>
  <c r="I84" i="10"/>
  <c r="K84" i="10" s="1"/>
  <c r="L84" i="10" s="1"/>
  <c r="N84" i="10" s="1"/>
  <c r="I72" i="10"/>
  <c r="K72" i="10" s="1"/>
  <c r="L72" i="10" s="1"/>
  <c r="N72" i="10" s="1"/>
  <c r="I48" i="10"/>
  <c r="K48" i="10" s="1"/>
  <c r="L48" i="10" s="1"/>
  <c r="N48" i="10" s="1"/>
  <c r="I36" i="10"/>
  <c r="K36" i="10" s="1"/>
  <c r="L36" i="10" s="1"/>
  <c r="N36" i="10" s="1"/>
  <c r="I12" i="10"/>
  <c r="K12" i="10" s="1"/>
  <c r="L12" i="10" s="1"/>
  <c r="N12" i="10" s="1"/>
  <c r="I127" i="10"/>
  <c r="K127" i="10" s="1"/>
  <c r="L127" i="10" s="1"/>
  <c r="N127" i="10" s="1"/>
  <c r="I115" i="10"/>
  <c r="K115" i="10" s="1"/>
  <c r="L115" i="10" s="1"/>
  <c r="N115" i="10" s="1"/>
  <c r="I103" i="10"/>
  <c r="K103" i="10" s="1"/>
  <c r="L103" i="10" s="1"/>
  <c r="N103" i="10" s="1"/>
  <c r="I91" i="10"/>
  <c r="K91" i="10" s="1"/>
  <c r="L91" i="10" s="1"/>
  <c r="N91" i="10" s="1"/>
  <c r="I79" i="10"/>
  <c r="K79" i="10" s="1"/>
  <c r="L79" i="10" s="1"/>
  <c r="N79" i="10" s="1"/>
  <c r="I67" i="10"/>
  <c r="K67" i="10" s="1"/>
  <c r="L67" i="10" s="1"/>
  <c r="N67" i="10" s="1"/>
  <c r="I55" i="10"/>
  <c r="K55" i="10" s="1"/>
  <c r="L55" i="10" s="1"/>
  <c r="N55" i="10" s="1"/>
  <c r="I43" i="10"/>
  <c r="K43" i="10" s="1"/>
  <c r="L43" i="10" s="1"/>
  <c r="N43" i="10" s="1"/>
  <c r="I31" i="10"/>
  <c r="K31" i="10" s="1"/>
  <c r="L31" i="10" s="1"/>
  <c r="N31" i="10" s="1"/>
  <c r="I19" i="10"/>
  <c r="K19" i="10" s="1"/>
  <c r="L19" i="10" s="1"/>
  <c r="N19" i="10" s="1"/>
  <c r="I134" i="10"/>
  <c r="K134" i="10" s="1"/>
  <c r="L134" i="10" s="1"/>
  <c r="N134" i="10" s="1"/>
  <c r="I122" i="10"/>
  <c r="K122" i="10" s="1"/>
  <c r="L122" i="10" s="1"/>
  <c r="N122" i="10" s="1"/>
  <c r="I110" i="10"/>
  <c r="K110" i="10" s="1"/>
  <c r="L110" i="10" s="1"/>
  <c r="N110" i="10" s="1"/>
  <c r="I98" i="10"/>
  <c r="K98" i="10" s="1"/>
  <c r="L98" i="10" s="1"/>
  <c r="N98" i="10" s="1"/>
  <c r="I86" i="10"/>
  <c r="K86" i="10" s="1"/>
  <c r="L86" i="10" s="1"/>
  <c r="N86" i="10" s="1"/>
  <c r="I74" i="10"/>
  <c r="K74" i="10" s="1"/>
  <c r="L74" i="10" s="1"/>
  <c r="N74" i="10" s="1"/>
  <c r="I62" i="10"/>
  <c r="K62" i="10" s="1"/>
  <c r="L62" i="10" s="1"/>
  <c r="N62" i="10" s="1"/>
  <c r="I50" i="10"/>
  <c r="K50" i="10" s="1"/>
  <c r="L50" i="10" s="1"/>
  <c r="N50" i="10" s="1"/>
  <c r="I38" i="10"/>
  <c r="K38" i="10" s="1"/>
  <c r="L38" i="10" s="1"/>
  <c r="N38" i="10" s="1"/>
  <c r="I26" i="10"/>
  <c r="K26" i="10" s="1"/>
  <c r="L26" i="10" s="1"/>
  <c r="N26" i="10" s="1"/>
  <c r="K14" i="10"/>
  <c r="L14" i="10" s="1"/>
  <c r="N14" i="10" s="1"/>
  <c r="I129" i="10"/>
  <c r="K129" i="10" s="1"/>
  <c r="L129" i="10" s="1"/>
  <c r="N129" i="10" s="1"/>
  <c r="I117" i="10"/>
  <c r="K117" i="10" s="1"/>
  <c r="L117" i="10" s="1"/>
  <c r="N117" i="10" s="1"/>
  <c r="I105" i="10"/>
  <c r="K105" i="10" s="1"/>
  <c r="L105" i="10" s="1"/>
  <c r="N105" i="10" s="1"/>
  <c r="I93" i="10"/>
  <c r="K93" i="10" s="1"/>
  <c r="L93" i="10" s="1"/>
  <c r="N93" i="10" s="1"/>
  <c r="I81" i="10"/>
  <c r="K81" i="10" s="1"/>
  <c r="L81" i="10" s="1"/>
  <c r="N81" i="10" s="1"/>
  <c r="I69" i="10"/>
  <c r="K69" i="10" s="1"/>
  <c r="L69" i="10" s="1"/>
  <c r="N69" i="10" s="1"/>
  <c r="I57" i="10"/>
  <c r="K57" i="10" s="1"/>
  <c r="L57" i="10" s="1"/>
  <c r="N57" i="10" s="1"/>
  <c r="I45" i="10"/>
  <c r="K45" i="10" s="1"/>
  <c r="L45" i="10" s="1"/>
  <c r="N45" i="10" s="1"/>
  <c r="I33" i="10"/>
  <c r="K33" i="10" s="1"/>
  <c r="L33" i="10" s="1"/>
  <c r="N33" i="10" s="1"/>
  <c r="I21" i="10"/>
  <c r="K21" i="10" s="1"/>
  <c r="L21" i="10" s="1"/>
  <c r="N21" i="10" s="1"/>
  <c r="I124" i="10"/>
  <c r="K124" i="10" s="1"/>
  <c r="L124" i="10" s="1"/>
  <c r="N124" i="10" s="1"/>
  <c r="I112" i="10"/>
  <c r="K112" i="10" s="1"/>
  <c r="L112" i="10" s="1"/>
  <c r="N112" i="10" s="1"/>
  <c r="I100" i="10"/>
  <c r="K100" i="10" s="1"/>
  <c r="L100" i="10" s="1"/>
  <c r="N100" i="10" s="1"/>
  <c r="I88" i="10"/>
  <c r="K88" i="10" s="1"/>
  <c r="L88" i="10" s="1"/>
  <c r="N88" i="10" s="1"/>
  <c r="I76" i="10"/>
  <c r="K76" i="10" s="1"/>
  <c r="L76" i="10" s="1"/>
  <c r="N76" i="10" s="1"/>
  <c r="I64" i="10"/>
  <c r="K64" i="10" s="1"/>
  <c r="L64" i="10" s="1"/>
  <c r="N64" i="10" s="1"/>
  <c r="I52" i="10"/>
  <c r="K52" i="10" s="1"/>
  <c r="L52" i="10" s="1"/>
  <c r="N52" i="10" s="1"/>
  <c r="I40" i="10"/>
  <c r="K40" i="10" s="1"/>
  <c r="L40" i="10" s="1"/>
  <c r="N40" i="10" s="1"/>
  <c r="I28" i="10"/>
  <c r="K28" i="10" s="1"/>
  <c r="L28" i="10" s="1"/>
  <c r="N28" i="10" s="1"/>
  <c r="I16" i="10"/>
  <c r="K16" i="10" s="1"/>
  <c r="L16" i="10" s="1"/>
  <c r="N16" i="10" s="1"/>
  <c r="I131" i="10"/>
  <c r="K131" i="10" s="1"/>
  <c r="L131" i="10" s="1"/>
  <c r="N131" i="10" s="1"/>
  <c r="I119" i="10"/>
  <c r="K119" i="10" s="1"/>
  <c r="L119" i="10" s="1"/>
  <c r="N119" i="10" s="1"/>
  <c r="I107" i="10"/>
  <c r="K107" i="10" s="1"/>
  <c r="L107" i="10" s="1"/>
  <c r="N107" i="10" s="1"/>
  <c r="I95" i="10"/>
  <c r="K95" i="10" s="1"/>
  <c r="L95" i="10" s="1"/>
  <c r="N95" i="10" s="1"/>
  <c r="I83" i="10"/>
  <c r="K83" i="10" s="1"/>
  <c r="L83" i="10" s="1"/>
  <c r="N83" i="10" s="1"/>
  <c r="I71" i="10"/>
  <c r="K71" i="10" s="1"/>
  <c r="L71" i="10" s="1"/>
  <c r="N71" i="10" s="1"/>
  <c r="I59" i="10"/>
  <c r="K59" i="10" s="1"/>
  <c r="L59" i="10" s="1"/>
  <c r="N59" i="10" s="1"/>
  <c r="I47" i="10"/>
  <c r="K47" i="10" s="1"/>
  <c r="L47" i="10" s="1"/>
  <c r="N47" i="10" s="1"/>
  <c r="I35" i="10"/>
  <c r="K35" i="10" s="1"/>
  <c r="L35" i="10" s="1"/>
  <c r="N35" i="10" s="1"/>
  <c r="I23" i="10"/>
  <c r="K23" i="10" s="1"/>
  <c r="L23" i="10" s="1"/>
  <c r="N23" i="10" s="1"/>
  <c r="I11" i="10"/>
  <c r="K11" i="10" s="1"/>
  <c r="L11" i="10" s="1"/>
  <c r="N11" i="10" s="1"/>
  <c r="K70" i="10"/>
  <c r="L70" i="10" s="1"/>
  <c r="N70" i="10" s="1"/>
  <c r="K51" i="10"/>
  <c r="L51" i="10" s="1"/>
  <c r="N51" i="10" s="1"/>
  <c r="K53" i="10"/>
  <c r="L53" i="10" s="1"/>
  <c r="N53" i="10" s="1"/>
  <c r="K73" i="9"/>
  <c r="L73" i="9" s="1"/>
  <c r="I126" i="9"/>
  <c r="K126" i="9" s="1"/>
  <c r="L126" i="9" s="1"/>
  <c r="I114" i="9"/>
  <c r="K114" i="9" s="1"/>
  <c r="L114" i="9" s="1"/>
  <c r="I102" i="9"/>
  <c r="K102" i="9" s="1"/>
  <c r="L102" i="9" s="1"/>
  <c r="I90" i="9"/>
  <c r="K90" i="9" s="1"/>
  <c r="L90" i="9" s="1"/>
  <c r="I78" i="9"/>
  <c r="K78" i="9" s="1"/>
  <c r="L78" i="9" s="1"/>
  <c r="I66" i="9"/>
  <c r="K66" i="9" s="1"/>
  <c r="L66" i="9" s="1"/>
  <c r="I54" i="9"/>
  <c r="K54" i="9" s="1"/>
  <c r="L54" i="9" s="1"/>
  <c r="I42" i="9"/>
  <c r="K42" i="9" s="1"/>
  <c r="L42" i="9" s="1"/>
  <c r="I30" i="9"/>
  <c r="I18" i="9"/>
  <c r="K18" i="9" s="1"/>
  <c r="L18" i="9" s="1"/>
  <c r="I96" i="9"/>
  <c r="K96" i="9" s="1"/>
  <c r="L96" i="9" s="1"/>
  <c r="I60" i="9"/>
  <c r="K60" i="9" s="1"/>
  <c r="L60" i="9" s="1"/>
  <c r="I48" i="9"/>
  <c r="K48" i="9" s="1"/>
  <c r="L48" i="9" s="1"/>
  <c r="I12" i="9"/>
  <c r="K12" i="9" s="1"/>
  <c r="L12" i="9" s="1"/>
  <c r="I91" i="9"/>
  <c r="K91" i="9" s="1"/>
  <c r="L91" i="9" s="1"/>
  <c r="I133" i="9"/>
  <c r="K133" i="9" s="1"/>
  <c r="L133" i="9" s="1"/>
  <c r="I121" i="9"/>
  <c r="K121" i="9" s="1"/>
  <c r="L121" i="9" s="1"/>
  <c r="I109" i="9"/>
  <c r="K109" i="9" s="1"/>
  <c r="L109" i="9" s="1"/>
  <c r="I97" i="9"/>
  <c r="K97" i="9" s="1"/>
  <c r="L97" i="9" s="1"/>
  <c r="I85" i="9"/>
  <c r="K85" i="9" s="1"/>
  <c r="L85" i="9" s="1"/>
  <c r="I73" i="9"/>
  <c r="I61" i="9"/>
  <c r="K61" i="9" s="1"/>
  <c r="L61" i="9" s="1"/>
  <c r="I49" i="9"/>
  <c r="I37" i="9"/>
  <c r="I25" i="9"/>
  <c r="I13" i="9"/>
  <c r="K13" i="9" s="1"/>
  <c r="L13" i="9" s="1"/>
  <c r="I128" i="9"/>
  <c r="K128" i="9" s="1"/>
  <c r="L128" i="9" s="1"/>
  <c r="I116" i="9"/>
  <c r="K116" i="9" s="1"/>
  <c r="L116" i="9" s="1"/>
  <c r="I104" i="9"/>
  <c r="K104" i="9" s="1"/>
  <c r="L104" i="9" s="1"/>
  <c r="I92" i="9"/>
  <c r="K92" i="9" s="1"/>
  <c r="L92" i="9" s="1"/>
  <c r="I80" i="9"/>
  <c r="K80" i="9" s="1"/>
  <c r="L80" i="9" s="1"/>
  <c r="I68" i="9"/>
  <c r="K68" i="9" s="1"/>
  <c r="L68" i="9" s="1"/>
  <c r="I56" i="9"/>
  <c r="I44" i="9"/>
  <c r="I32" i="9"/>
  <c r="I20" i="9"/>
  <c r="I108" i="9"/>
  <c r="K108" i="9" s="1"/>
  <c r="L108" i="9" s="1"/>
  <c r="I72" i="9"/>
  <c r="K72" i="9" s="1"/>
  <c r="L72" i="9" s="1"/>
  <c r="I24" i="9"/>
  <c r="K24" i="9" s="1"/>
  <c r="L24" i="9" s="1"/>
  <c r="I115" i="9"/>
  <c r="K115" i="9" s="1"/>
  <c r="L115" i="9" s="1"/>
  <c r="I135" i="9"/>
  <c r="K135" i="9" s="1"/>
  <c r="L135" i="9" s="1"/>
  <c r="I123" i="9"/>
  <c r="K123" i="9" s="1"/>
  <c r="L123" i="9" s="1"/>
  <c r="I111" i="9"/>
  <c r="K111" i="9" s="1"/>
  <c r="L111" i="9" s="1"/>
  <c r="I99" i="9"/>
  <c r="K99" i="9" s="1"/>
  <c r="L99" i="9" s="1"/>
  <c r="I87" i="9"/>
  <c r="K87" i="9" s="1"/>
  <c r="L87" i="9" s="1"/>
  <c r="I75" i="9"/>
  <c r="I63" i="9"/>
  <c r="K63" i="9" s="1"/>
  <c r="L63" i="9" s="1"/>
  <c r="I51" i="9"/>
  <c r="K51" i="9" s="1"/>
  <c r="L51" i="9" s="1"/>
  <c r="I39" i="9"/>
  <c r="I27" i="9"/>
  <c r="I15" i="9"/>
  <c r="K15" i="9" s="1"/>
  <c r="L15" i="9" s="1"/>
  <c r="I132" i="9"/>
  <c r="K132" i="9" s="1"/>
  <c r="L132" i="9" s="1"/>
  <c r="I120" i="9"/>
  <c r="K120" i="9" s="1"/>
  <c r="L120" i="9" s="1"/>
  <c r="I36" i="9"/>
  <c r="K36" i="9" s="1"/>
  <c r="L36" i="9" s="1"/>
  <c r="I103" i="9"/>
  <c r="K103" i="9" s="1"/>
  <c r="L103" i="9" s="1"/>
  <c r="I130" i="9"/>
  <c r="K130" i="9" s="1"/>
  <c r="L130" i="9" s="1"/>
  <c r="I118" i="9"/>
  <c r="I106" i="9"/>
  <c r="K106" i="9" s="1"/>
  <c r="L106" i="9" s="1"/>
  <c r="I94" i="9"/>
  <c r="K94" i="9" s="1"/>
  <c r="L94" i="9" s="1"/>
  <c r="I82" i="9"/>
  <c r="K82" i="9" s="1"/>
  <c r="L82" i="9" s="1"/>
  <c r="I70" i="9"/>
  <c r="K70" i="9" s="1"/>
  <c r="L70" i="9" s="1"/>
  <c r="I58" i="9"/>
  <c r="K58" i="9" s="1"/>
  <c r="L58" i="9" s="1"/>
  <c r="I46" i="9"/>
  <c r="K46" i="9" s="1"/>
  <c r="L46" i="9" s="1"/>
  <c r="I34" i="9"/>
  <c r="K34" i="9" s="1"/>
  <c r="L34" i="9" s="1"/>
  <c r="I22" i="9"/>
  <c r="K22" i="9" s="1"/>
  <c r="L22" i="9" s="1"/>
  <c r="I10" i="9"/>
  <c r="K10" i="9" s="1"/>
  <c r="L10" i="9" s="1"/>
  <c r="I84" i="9"/>
  <c r="K84" i="9" s="1"/>
  <c r="L84" i="9" s="1"/>
  <c r="I127" i="9"/>
  <c r="K127" i="9" s="1"/>
  <c r="L127" i="9" s="1"/>
  <c r="I79" i="9"/>
  <c r="K79" i="9" s="1"/>
  <c r="L79" i="9" s="1"/>
  <c r="I67" i="9"/>
  <c r="K67" i="9" s="1"/>
  <c r="L67" i="9" s="1"/>
  <c r="I125" i="9"/>
  <c r="K125" i="9" s="1"/>
  <c r="L125" i="9" s="1"/>
  <c r="I113" i="9"/>
  <c r="K113" i="9" s="1"/>
  <c r="L113" i="9" s="1"/>
  <c r="I101" i="9"/>
  <c r="K101" i="9" s="1"/>
  <c r="L101" i="9" s="1"/>
  <c r="I89" i="9"/>
  <c r="I77" i="9"/>
  <c r="K77" i="9" s="1"/>
  <c r="L77" i="9" s="1"/>
  <c r="I65" i="9"/>
  <c r="K65" i="9" s="1"/>
  <c r="L65" i="9" s="1"/>
  <c r="I53" i="9"/>
  <c r="K53" i="9" s="1"/>
  <c r="L53" i="9" s="1"/>
  <c r="I41" i="9"/>
  <c r="K41" i="9" s="1"/>
  <c r="L41" i="9" s="1"/>
  <c r="I29" i="9"/>
  <c r="K29" i="9" s="1"/>
  <c r="L29" i="9" s="1"/>
  <c r="I17" i="9"/>
  <c r="K17" i="9" s="1"/>
  <c r="L17" i="9" s="1"/>
  <c r="I134" i="9"/>
  <c r="I107" i="9"/>
  <c r="K107" i="9" s="1"/>
  <c r="L107" i="9" s="1"/>
  <c r="I64" i="9"/>
  <c r="I47" i="9"/>
  <c r="K47" i="9" s="1"/>
  <c r="L47" i="9" s="1"/>
  <c r="I71" i="9"/>
  <c r="K71" i="9" s="1"/>
  <c r="L71" i="9" s="1"/>
  <c r="I52" i="9"/>
  <c r="K52" i="9" s="1"/>
  <c r="L52" i="9" s="1"/>
  <c r="I35" i="9"/>
  <c r="K35" i="9" s="1"/>
  <c r="L35" i="9" s="1"/>
  <c r="I131" i="9"/>
  <c r="K131" i="9" s="1"/>
  <c r="L131" i="9" s="1"/>
  <c r="I81" i="9"/>
  <c r="K81" i="9" s="1"/>
  <c r="L81" i="9" s="1"/>
  <c r="I31" i="9"/>
  <c r="K31" i="9" s="1"/>
  <c r="L31" i="9" s="1"/>
  <c r="I98" i="9"/>
  <c r="K98" i="9" s="1"/>
  <c r="L98" i="9" s="1"/>
  <c r="I88" i="9"/>
  <c r="K88" i="9" s="1"/>
  <c r="L88" i="9" s="1"/>
  <c r="I122" i="9"/>
  <c r="K122" i="9" s="1"/>
  <c r="L122" i="9" s="1"/>
  <c r="I105" i="9"/>
  <c r="K105" i="9" s="1"/>
  <c r="L105" i="9" s="1"/>
  <c r="I57" i="9"/>
  <c r="K57" i="9" s="1"/>
  <c r="L57" i="9" s="1"/>
  <c r="I40" i="9"/>
  <c r="I23" i="9"/>
  <c r="I14" i="9"/>
  <c r="K14" i="9" s="1"/>
  <c r="L14" i="9" s="1"/>
  <c r="I19" i="9"/>
  <c r="K19" i="9" s="1"/>
  <c r="L19" i="9" s="1"/>
  <c r="I112" i="9"/>
  <c r="K112" i="9" s="1"/>
  <c r="L112" i="9" s="1"/>
  <c r="I69" i="9"/>
  <c r="K69" i="9" s="1"/>
  <c r="L69" i="9" s="1"/>
  <c r="I62" i="9"/>
  <c r="K62" i="9" s="1"/>
  <c r="L62" i="9" s="1"/>
  <c r="I45" i="9"/>
  <c r="K45" i="9" s="1"/>
  <c r="L45" i="9" s="1"/>
  <c r="I28" i="9"/>
  <c r="K28" i="9" s="1"/>
  <c r="L28" i="9" s="1"/>
  <c r="I11" i="9"/>
  <c r="I129" i="9"/>
  <c r="K129" i="9" s="1"/>
  <c r="L129" i="9" s="1"/>
  <c r="I86" i="9"/>
  <c r="K86" i="9" s="1"/>
  <c r="L86" i="9" s="1"/>
  <c r="I119" i="9"/>
  <c r="K119" i="9" s="1"/>
  <c r="L119" i="9" s="1"/>
  <c r="I76" i="9"/>
  <c r="K76" i="9" s="1"/>
  <c r="L76" i="9" s="1"/>
  <c r="I50" i="9"/>
  <c r="K50" i="9" s="1"/>
  <c r="L50" i="9" s="1"/>
  <c r="I33" i="9"/>
  <c r="K33" i="9" s="1"/>
  <c r="L33" i="9" s="1"/>
  <c r="I16" i="9"/>
  <c r="K16" i="9" s="1"/>
  <c r="L16" i="9" s="1"/>
  <c r="I95" i="9"/>
  <c r="K95" i="9" s="1"/>
  <c r="L95" i="9" s="1"/>
  <c r="I110" i="9"/>
  <c r="K110" i="9" s="1"/>
  <c r="L110" i="9" s="1"/>
  <c r="I83" i="9"/>
  <c r="K83" i="9" s="1"/>
  <c r="L83" i="9" s="1"/>
  <c r="I55" i="9"/>
  <c r="K55" i="9" s="1"/>
  <c r="L55" i="9" s="1"/>
  <c r="I38" i="9"/>
  <c r="K38" i="9" s="1"/>
  <c r="L38" i="9" s="1"/>
  <c r="I21" i="9"/>
  <c r="K21" i="9" s="1"/>
  <c r="L21" i="9" s="1"/>
  <c r="I93" i="9"/>
  <c r="K93" i="9" s="1"/>
  <c r="L93" i="9" s="1"/>
  <c r="I100" i="9"/>
  <c r="K100" i="9" s="1"/>
  <c r="L100" i="9" s="1"/>
  <c r="I59" i="9"/>
  <c r="K59" i="9" s="1"/>
  <c r="L59" i="9" s="1"/>
  <c r="I124" i="9"/>
  <c r="K124" i="9" s="1"/>
  <c r="L124" i="9" s="1"/>
  <c r="I117" i="9"/>
  <c r="K117" i="9" s="1"/>
  <c r="L117" i="9" s="1"/>
  <c r="I74" i="9"/>
  <c r="K74" i="9" s="1"/>
  <c r="L74" i="9" s="1"/>
  <c r="I43" i="9"/>
  <c r="K43" i="9" s="1"/>
  <c r="L43" i="9" s="1"/>
  <c r="I26" i="9"/>
  <c r="K26" i="9" s="1"/>
  <c r="L26" i="9" s="1"/>
  <c r="K118" i="9"/>
  <c r="L118" i="9" s="1"/>
  <c r="K49" i="9"/>
  <c r="L49" i="9" s="1"/>
  <c r="K11" i="9"/>
  <c r="L11" i="9" s="1"/>
  <c r="K37" i="9"/>
  <c r="L37" i="9" s="1"/>
  <c r="K44" i="9"/>
  <c r="L44" i="9" s="1"/>
  <c r="K39" i="9"/>
  <c r="L39" i="9" s="1"/>
  <c r="K64" i="9"/>
  <c r="L64" i="9" s="1"/>
  <c r="K23" i="9"/>
  <c r="L23" i="9" s="1"/>
  <c r="K89" i="9"/>
  <c r="L89" i="9" s="1"/>
  <c r="K25" i="9"/>
  <c r="L25" i="9" s="1"/>
  <c r="K32" i="9"/>
  <c r="L32" i="9" s="1"/>
  <c r="K27" i="9"/>
  <c r="L27" i="9" s="1"/>
  <c r="K134" i="9"/>
  <c r="L134" i="9" s="1"/>
  <c r="K75" i="9"/>
  <c r="L75" i="9" s="1"/>
  <c r="K56" i="9"/>
  <c r="L56" i="9" s="1"/>
  <c r="K30" i="9"/>
  <c r="L30" i="9" s="1"/>
  <c r="K20" i="9"/>
  <c r="L20" i="9" s="1"/>
  <c r="K40" i="9"/>
  <c r="L40" i="9" s="1"/>
  <c r="H131" i="8"/>
  <c r="H119" i="8"/>
  <c r="H107" i="8"/>
  <c r="H95" i="8"/>
  <c r="H83" i="8"/>
  <c r="H71" i="8"/>
  <c r="H59" i="8"/>
  <c r="H47" i="8"/>
  <c r="H35" i="8"/>
  <c r="K35" i="8" s="1"/>
  <c r="L35" i="8" s="1"/>
  <c r="H23" i="8"/>
  <c r="K23" i="8" s="1"/>
  <c r="L23" i="8" s="1"/>
  <c r="H11" i="8"/>
  <c r="K11" i="8" s="1"/>
  <c r="L11" i="8" s="1"/>
  <c r="H25" i="8"/>
  <c r="K25" i="8" s="1"/>
  <c r="L25" i="8" s="1"/>
  <c r="H13" i="8"/>
  <c r="H110" i="8"/>
  <c r="H50" i="8"/>
  <c r="H38" i="8"/>
  <c r="H105" i="8"/>
  <c r="H124" i="8"/>
  <c r="H126" i="8"/>
  <c r="H114" i="8"/>
  <c r="H102" i="8"/>
  <c r="H90" i="8"/>
  <c r="H78" i="8"/>
  <c r="H66" i="8"/>
  <c r="H54" i="8"/>
  <c r="H42" i="8"/>
  <c r="H30" i="8"/>
  <c r="H18" i="8"/>
  <c r="H28" i="8"/>
  <c r="H133" i="8"/>
  <c r="H121" i="8"/>
  <c r="H109" i="8"/>
  <c r="H97" i="8"/>
  <c r="H85" i="8"/>
  <c r="H73" i="8"/>
  <c r="K73" i="8" s="1"/>
  <c r="L73" i="8" s="1"/>
  <c r="H61" i="8"/>
  <c r="K61" i="8" s="1"/>
  <c r="L61" i="8" s="1"/>
  <c r="H49" i="8"/>
  <c r="H37" i="8"/>
  <c r="H98" i="8"/>
  <c r="H62" i="8"/>
  <c r="H93" i="8"/>
  <c r="H69" i="8"/>
  <c r="H57" i="8"/>
  <c r="H45" i="8"/>
  <c r="H128" i="8"/>
  <c r="H116" i="8"/>
  <c r="H104" i="8"/>
  <c r="K104" i="8" s="1"/>
  <c r="L104" i="8" s="1"/>
  <c r="H92" i="8"/>
  <c r="K92" i="8" s="1"/>
  <c r="L92" i="8" s="1"/>
  <c r="H80" i="8"/>
  <c r="H68" i="8"/>
  <c r="H56" i="8"/>
  <c r="H44" i="8"/>
  <c r="H32" i="8"/>
  <c r="H20" i="8"/>
  <c r="H134" i="8"/>
  <c r="H74" i="8"/>
  <c r="H33" i="8"/>
  <c r="H21" i="8"/>
  <c r="K21" i="8" s="1"/>
  <c r="L21" i="8" s="1"/>
  <c r="H100" i="8"/>
  <c r="H135" i="8"/>
  <c r="K135" i="8" s="1"/>
  <c r="L135" i="8" s="1"/>
  <c r="H123" i="8"/>
  <c r="H111" i="8"/>
  <c r="H99" i="8"/>
  <c r="H87" i="8"/>
  <c r="H75" i="8"/>
  <c r="H63" i="8"/>
  <c r="H51" i="8"/>
  <c r="H39" i="8"/>
  <c r="H27" i="8"/>
  <c r="H15" i="8"/>
  <c r="H26" i="8"/>
  <c r="H14" i="8"/>
  <c r="H129" i="8"/>
  <c r="H88" i="8"/>
  <c r="H52" i="8"/>
  <c r="H16" i="8"/>
  <c r="H130" i="8"/>
  <c r="H118" i="8"/>
  <c r="H106" i="8"/>
  <c r="H94" i="8"/>
  <c r="H82" i="8"/>
  <c r="H70" i="8"/>
  <c r="H58" i="8"/>
  <c r="H46" i="8"/>
  <c r="K46" i="8" s="1"/>
  <c r="L46" i="8" s="1"/>
  <c r="H34" i="8"/>
  <c r="H22" i="8"/>
  <c r="H10" i="8"/>
  <c r="H122" i="8"/>
  <c r="H86" i="8"/>
  <c r="H112" i="8"/>
  <c r="H64" i="8"/>
  <c r="H40" i="8"/>
  <c r="K40" i="8" s="1"/>
  <c r="L40" i="8" s="1"/>
  <c r="H125" i="8"/>
  <c r="H113" i="8"/>
  <c r="H101" i="8"/>
  <c r="H89" i="8"/>
  <c r="H77" i="8"/>
  <c r="H65" i="8"/>
  <c r="H53" i="8"/>
  <c r="H41" i="8"/>
  <c r="H29" i="8"/>
  <c r="H17" i="8"/>
  <c r="H132" i="8"/>
  <c r="H120" i="8"/>
  <c r="K120" i="8" s="1"/>
  <c r="L120" i="8" s="1"/>
  <c r="H108" i="8"/>
  <c r="K108" i="8" s="1"/>
  <c r="L108" i="8" s="1"/>
  <c r="H96" i="8"/>
  <c r="K96" i="8" s="1"/>
  <c r="L96" i="8" s="1"/>
  <c r="H84" i="8"/>
  <c r="K84" i="8" s="1"/>
  <c r="L84" i="8" s="1"/>
  <c r="H72" i="8"/>
  <c r="K72" i="8" s="1"/>
  <c r="L72" i="8" s="1"/>
  <c r="H60" i="8"/>
  <c r="H48" i="8"/>
  <c r="H36" i="8"/>
  <c r="H24" i="8"/>
  <c r="H12" i="8"/>
  <c r="H117" i="8"/>
  <c r="H76" i="8"/>
  <c r="K76" i="8" s="1"/>
  <c r="L76" i="8" s="1"/>
  <c r="H127" i="8"/>
  <c r="H115" i="8"/>
  <c r="K115" i="8" s="1"/>
  <c r="L115" i="8" s="1"/>
  <c r="H103" i="8"/>
  <c r="K103" i="8" s="1"/>
  <c r="L103" i="8" s="1"/>
  <c r="H91" i="8"/>
  <c r="K91" i="8" s="1"/>
  <c r="L91" i="8" s="1"/>
  <c r="H79" i="8"/>
  <c r="K79" i="8" s="1"/>
  <c r="L79" i="8" s="1"/>
  <c r="H67" i="8"/>
  <c r="H55" i="8"/>
  <c r="H43" i="8"/>
  <c r="H31" i="8"/>
  <c r="H19" i="8"/>
  <c r="H81" i="8"/>
  <c r="I126" i="8"/>
  <c r="I114" i="8"/>
  <c r="I102" i="8"/>
  <c r="I90" i="8"/>
  <c r="I78" i="8"/>
  <c r="I66" i="8"/>
  <c r="I54" i="8"/>
  <c r="I42" i="8"/>
  <c r="I30" i="8"/>
  <c r="I18" i="8"/>
  <c r="I117" i="8"/>
  <c r="I52" i="8"/>
  <c r="I23" i="8"/>
  <c r="I133" i="8"/>
  <c r="I121" i="8"/>
  <c r="I109" i="8"/>
  <c r="I97" i="8"/>
  <c r="I85" i="8"/>
  <c r="I73" i="8"/>
  <c r="I61" i="8"/>
  <c r="I49" i="8"/>
  <c r="I37" i="8"/>
  <c r="I25" i="8"/>
  <c r="I13" i="8"/>
  <c r="I105" i="8"/>
  <c r="I57" i="8"/>
  <c r="I33" i="8"/>
  <c r="I47" i="8"/>
  <c r="I128" i="8"/>
  <c r="I116" i="8"/>
  <c r="I104" i="8"/>
  <c r="I92" i="8"/>
  <c r="I80" i="8"/>
  <c r="I68" i="8"/>
  <c r="I56" i="8"/>
  <c r="I44" i="8"/>
  <c r="I32" i="8"/>
  <c r="I20" i="8"/>
  <c r="I45" i="8"/>
  <c r="I112" i="8"/>
  <c r="I88" i="8"/>
  <c r="I16" i="8"/>
  <c r="I135" i="8"/>
  <c r="I123" i="8"/>
  <c r="I111" i="8"/>
  <c r="I99" i="8"/>
  <c r="I87" i="8"/>
  <c r="I75" i="8"/>
  <c r="I63" i="8"/>
  <c r="I51" i="8"/>
  <c r="I39" i="8"/>
  <c r="I27" i="8"/>
  <c r="I15" i="8"/>
  <c r="I100" i="8"/>
  <c r="I76" i="8"/>
  <c r="I64" i="8"/>
  <c r="I40" i="8"/>
  <c r="I28" i="8"/>
  <c r="I131" i="8"/>
  <c r="I130" i="8"/>
  <c r="I118" i="8"/>
  <c r="I106" i="8"/>
  <c r="I94" i="8"/>
  <c r="I82" i="8"/>
  <c r="I70" i="8"/>
  <c r="I58" i="8"/>
  <c r="I46" i="8"/>
  <c r="I34" i="8"/>
  <c r="I22" i="8"/>
  <c r="I10" i="8"/>
  <c r="I129" i="8"/>
  <c r="I93" i="8"/>
  <c r="I81" i="8"/>
  <c r="I35" i="8"/>
  <c r="I125" i="8"/>
  <c r="I113" i="8"/>
  <c r="I101" i="8"/>
  <c r="I89" i="8"/>
  <c r="I77" i="8"/>
  <c r="I65" i="8"/>
  <c r="I53" i="8"/>
  <c r="I41" i="8"/>
  <c r="I29" i="8"/>
  <c r="I17" i="8"/>
  <c r="I21" i="8"/>
  <c r="I124" i="8"/>
  <c r="I119" i="8"/>
  <c r="I107" i="8"/>
  <c r="I71" i="8"/>
  <c r="I132" i="8"/>
  <c r="I120" i="8"/>
  <c r="I108" i="8"/>
  <c r="I96" i="8"/>
  <c r="I84" i="8"/>
  <c r="I72" i="8"/>
  <c r="I60" i="8"/>
  <c r="I48" i="8"/>
  <c r="I36" i="8"/>
  <c r="I24" i="8"/>
  <c r="I12" i="8"/>
  <c r="I69" i="8"/>
  <c r="I127" i="8"/>
  <c r="I115" i="8"/>
  <c r="I103" i="8"/>
  <c r="I91" i="8"/>
  <c r="I79" i="8"/>
  <c r="I67" i="8"/>
  <c r="I55" i="8"/>
  <c r="I43" i="8"/>
  <c r="I31" i="8"/>
  <c r="I19" i="8"/>
  <c r="I95" i="8"/>
  <c r="I83" i="8"/>
  <c r="I59" i="8"/>
  <c r="I11" i="8"/>
  <c r="I134" i="8"/>
  <c r="I122" i="8"/>
  <c r="I110" i="8"/>
  <c r="I98" i="8"/>
  <c r="I86" i="8"/>
  <c r="I74" i="8"/>
  <c r="I62" i="8"/>
  <c r="I50" i="8"/>
  <c r="I38" i="8"/>
  <c r="I26" i="8"/>
  <c r="I14" i="8"/>
  <c r="H131" i="7"/>
  <c r="H119" i="7"/>
  <c r="H107" i="7"/>
  <c r="H95" i="7"/>
  <c r="H83" i="7"/>
  <c r="H71" i="7"/>
  <c r="H59" i="7"/>
  <c r="H47" i="7"/>
  <c r="H35" i="7"/>
  <c r="K35" i="7" s="1"/>
  <c r="L35" i="7" s="1"/>
  <c r="H23" i="7"/>
  <c r="H11" i="7"/>
  <c r="H24" i="7"/>
  <c r="K24" i="7" s="1"/>
  <c r="L24" i="7" s="1"/>
  <c r="H126" i="7"/>
  <c r="H114" i="7"/>
  <c r="H102" i="7"/>
  <c r="H90" i="7"/>
  <c r="H78" i="7"/>
  <c r="H66" i="7"/>
  <c r="H54" i="7"/>
  <c r="K54" i="7" s="1"/>
  <c r="L54" i="7" s="1"/>
  <c r="H42" i="7"/>
  <c r="H30" i="7"/>
  <c r="H18" i="7"/>
  <c r="H84" i="7"/>
  <c r="H12" i="7"/>
  <c r="H133" i="7"/>
  <c r="H121" i="7"/>
  <c r="H109" i="7"/>
  <c r="H97" i="7"/>
  <c r="H85" i="7"/>
  <c r="H73" i="7"/>
  <c r="K73" i="7" s="1"/>
  <c r="L73" i="7" s="1"/>
  <c r="H61" i="7"/>
  <c r="K61" i="7" s="1"/>
  <c r="L61" i="7" s="1"/>
  <c r="H49" i="7"/>
  <c r="H37" i="7"/>
  <c r="K37" i="7" s="1"/>
  <c r="L37" i="7" s="1"/>
  <c r="H25" i="7"/>
  <c r="H13" i="7"/>
  <c r="H113" i="7"/>
  <c r="H41" i="7"/>
  <c r="H120" i="7"/>
  <c r="H96" i="7"/>
  <c r="H48" i="7"/>
  <c r="H128" i="7"/>
  <c r="K128" i="7" s="1"/>
  <c r="L128" i="7" s="1"/>
  <c r="H116" i="7"/>
  <c r="H104" i="7"/>
  <c r="K104" i="7" s="1"/>
  <c r="L104" i="7" s="1"/>
  <c r="H92" i="7"/>
  <c r="H80" i="7"/>
  <c r="H68" i="7"/>
  <c r="H56" i="7"/>
  <c r="H44" i="7"/>
  <c r="H32" i="7"/>
  <c r="H20" i="7"/>
  <c r="H125" i="7"/>
  <c r="H89" i="7"/>
  <c r="H77" i="7"/>
  <c r="K77" i="7" s="1"/>
  <c r="L77" i="7" s="1"/>
  <c r="H65" i="7"/>
  <c r="H132" i="7"/>
  <c r="H60" i="7"/>
  <c r="K60" i="7" s="1"/>
  <c r="L60" i="7" s="1"/>
  <c r="H135" i="7"/>
  <c r="H123" i="7"/>
  <c r="H111" i="7"/>
  <c r="H99" i="7"/>
  <c r="H87" i="7"/>
  <c r="H75" i="7"/>
  <c r="H63" i="7"/>
  <c r="H51" i="7"/>
  <c r="H39" i="7"/>
  <c r="H27" i="7"/>
  <c r="H15" i="7"/>
  <c r="H108" i="7"/>
  <c r="H36" i="7"/>
  <c r="H127" i="7"/>
  <c r="H67" i="7"/>
  <c r="H130" i="7"/>
  <c r="H118" i="7"/>
  <c r="H106" i="7"/>
  <c r="H94" i="7"/>
  <c r="H82" i="7"/>
  <c r="H70" i="7"/>
  <c r="H58" i="7"/>
  <c r="H46" i="7"/>
  <c r="H34" i="7"/>
  <c r="H22" i="7"/>
  <c r="H10" i="7"/>
  <c r="H101" i="7"/>
  <c r="H53" i="7"/>
  <c r="H29" i="7"/>
  <c r="H17" i="7"/>
  <c r="H72" i="7"/>
  <c r="H115" i="7"/>
  <c r="H103" i="7"/>
  <c r="H91" i="7"/>
  <c r="H79" i="7"/>
  <c r="H134" i="7"/>
  <c r="H86" i="7"/>
  <c r="K86" i="7" s="1"/>
  <c r="L86" i="7" s="1"/>
  <c r="H38" i="7"/>
  <c r="H31" i="7"/>
  <c r="H105" i="7"/>
  <c r="K105" i="7" s="1"/>
  <c r="L105" i="7" s="1"/>
  <c r="H45" i="7"/>
  <c r="H110" i="7"/>
  <c r="H64" i="7"/>
  <c r="H55" i="7"/>
  <c r="H19" i="7"/>
  <c r="H124" i="7"/>
  <c r="H76" i="7"/>
  <c r="H52" i="7"/>
  <c r="H16" i="7"/>
  <c r="H129" i="7"/>
  <c r="K129" i="7" s="1"/>
  <c r="L129" i="7" s="1"/>
  <c r="H81" i="7"/>
  <c r="K81" i="7" s="1"/>
  <c r="L81" i="7" s="1"/>
  <c r="H100" i="7"/>
  <c r="H26" i="7"/>
  <c r="H117" i="7"/>
  <c r="H69" i="7"/>
  <c r="H122" i="7"/>
  <c r="H74" i="7"/>
  <c r="H43" i="7"/>
  <c r="H40" i="7"/>
  <c r="H93" i="7"/>
  <c r="H50" i="7"/>
  <c r="H14" i="7"/>
  <c r="H28" i="7"/>
  <c r="H62" i="7"/>
  <c r="K62" i="7" s="1"/>
  <c r="L62" i="7" s="1"/>
  <c r="H33" i="7"/>
  <c r="H112" i="7"/>
  <c r="H57" i="7"/>
  <c r="H21" i="7"/>
  <c r="H98" i="7"/>
  <c r="H88" i="7"/>
  <c r="I126" i="7"/>
  <c r="I114" i="7"/>
  <c r="I102" i="7"/>
  <c r="I90" i="7"/>
  <c r="I78" i="7"/>
  <c r="I66" i="7"/>
  <c r="I54" i="7"/>
  <c r="I42" i="7"/>
  <c r="I30" i="7"/>
  <c r="I18" i="7"/>
  <c r="I132" i="7"/>
  <c r="I72" i="7"/>
  <c r="I55" i="7"/>
  <c r="I133" i="7"/>
  <c r="I121" i="7"/>
  <c r="I109" i="7"/>
  <c r="I97" i="7"/>
  <c r="I85" i="7"/>
  <c r="I73" i="7"/>
  <c r="I61" i="7"/>
  <c r="I49" i="7"/>
  <c r="I37" i="7"/>
  <c r="I25" i="7"/>
  <c r="I13" i="7"/>
  <c r="I120" i="7"/>
  <c r="I108" i="7"/>
  <c r="I84" i="7"/>
  <c r="I127" i="7"/>
  <c r="I43" i="7"/>
  <c r="I19" i="7"/>
  <c r="I86" i="7"/>
  <c r="I128" i="7"/>
  <c r="I116" i="7"/>
  <c r="I104" i="7"/>
  <c r="I92" i="7"/>
  <c r="I80" i="7"/>
  <c r="I68" i="7"/>
  <c r="I56" i="7"/>
  <c r="I44" i="7"/>
  <c r="I32" i="7"/>
  <c r="I20" i="7"/>
  <c r="I96" i="7"/>
  <c r="I60" i="7"/>
  <c r="I24" i="7"/>
  <c r="I12" i="7"/>
  <c r="I115" i="7"/>
  <c r="I103" i="7"/>
  <c r="I79" i="7"/>
  <c r="I67" i="7"/>
  <c r="I74" i="7"/>
  <c r="I135" i="7"/>
  <c r="I123" i="7"/>
  <c r="I111" i="7"/>
  <c r="I99" i="7"/>
  <c r="I87" i="7"/>
  <c r="I75" i="7"/>
  <c r="I63" i="7"/>
  <c r="I51" i="7"/>
  <c r="I39" i="7"/>
  <c r="I27" i="7"/>
  <c r="I15" i="7"/>
  <c r="I36" i="7"/>
  <c r="I91" i="7"/>
  <c r="I130" i="7"/>
  <c r="I118" i="7"/>
  <c r="I106" i="7"/>
  <c r="I94" i="7"/>
  <c r="I82" i="7"/>
  <c r="I70" i="7"/>
  <c r="I58" i="7"/>
  <c r="I46" i="7"/>
  <c r="I34" i="7"/>
  <c r="I22" i="7"/>
  <c r="I10" i="7"/>
  <c r="I110" i="7"/>
  <c r="I125" i="7"/>
  <c r="I113" i="7"/>
  <c r="I101" i="7"/>
  <c r="I89" i="7"/>
  <c r="I77" i="7"/>
  <c r="I65" i="7"/>
  <c r="I53" i="7"/>
  <c r="I41" i="7"/>
  <c r="I29" i="7"/>
  <c r="I17" i="7"/>
  <c r="I48" i="7"/>
  <c r="I31" i="7"/>
  <c r="I134" i="7"/>
  <c r="I122" i="7"/>
  <c r="I98" i="7"/>
  <c r="I105" i="7"/>
  <c r="I45" i="7"/>
  <c r="I95" i="7"/>
  <c r="I124" i="7"/>
  <c r="I76" i="7"/>
  <c r="I52" i="7"/>
  <c r="I16" i="7"/>
  <c r="I100" i="7"/>
  <c r="I26" i="7"/>
  <c r="I38" i="7"/>
  <c r="I59" i="7"/>
  <c r="I23" i="7"/>
  <c r="I35" i="7"/>
  <c r="I62" i="7"/>
  <c r="I88" i="7"/>
  <c r="I47" i="7"/>
  <c r="I11" i="7"/>
  <c r="I93" i="7"/>
  <c r="I50" i="7"/>
  <c r="I14" i="7"/>
  <c r="I107" i="7"/>
  <c r="I112" i="7"/>
  <c r="I57" i="7"/>
  <c r="I21" i="7"/>
  <c r="I129" i="7"/>
  <c r="I81" i="7"/>
  <c r="I33" i="7"/>
  <c r="I117" i="7"/>
  <c r="I69" i="7"/>
  <c r="I40" i="7"/>
  <c r="I131" i="7"/>
  <c r="I83" i="7"/>
  <c r="I64" i="7"/>
  <c r="I28" i="7"/>
  <c r="I119" i="7"/>
  <c r="I71" i="7"/>
  <c r="H131" i="6"/>
  <c r="H119" i="6"/>
  <c r="H107" i="6"/>
  <c r="H95" i="6"/>
  <c r="H83" i="6"/>
  <c r="H71" i="6"/>
  <c r="K71" i="6" s="1"/>
  <c r="L71" i="6" s="1"/>
  <c r="H59" i="6"/>
  <c r="H47" i="6"/>
  <c r="H35" i="6"/>
  <c r="H23" i="6"/>
  <c r="H11" i="6"/>
  <c r="H101" i="6"/>
  <c r="H89" i="6"/>
  <c r="H29" i="6"/>
  <c r="H17" i="6"/>
  <c r="H120" i="6"/>
  <c r="H108" i="6"/>
  <c r="H126" i="6"/>
  <c r="H114" i="6"/>
  <c r="H102" i="6"/>
  <c r="H90" i="6"/>
  <c r="H78" i="6"/>
  <c r="H66" i="6"/>
  <c r="H54" i="6"/>
  <c r="K54" i="6" s="1"/>
  <c r="L54" i="6" s="1"/>
  <c r="H42" i="6"/>
  <c r="H30" i="6"/>
  <c r="H18" i="6"/>
  <c r="H84" i="6"/>
  <c r="H48" i="6"/>
  <c r="H24" i="6"/>
  <c r="H133" i="6"/>
  <c r="H121" i="6"/>
  <c r="H109" i="6"/>
  <c r="K109" i="6" s="1"/>
  <c r="L109" i="6" s="1"/>
  <c r="H97" i="6"/>
  <c r="K97" i="6" s="1"/>
  <c r="L97" i="6" s="1"/>
  <c r="H85" i="6"/>
  <c r="K85" i="6" s="1"/>
  <c r="L85" i="6" s="1"/>
  <c r="H73" i="6"/>
  <c r="K73" i="6" s="1"/>
  <c r="L73" i="6" s="1"/>
  <c r="H61" i="6"/>
  <c r="H49" i="6"/>
  <c r="H37" i="6"/>
  <c r="H25" i="6"/>
  <c r="H13" i="6"/>
  <c r="H65" i="6"/>
  <c r="H41" i="6"/>
  <c r="H96" i="6"/>
  <c r="H128" i="6"/>
  <c r="K128" i="6" s="1"/>
  <c r="L128" i="6" s="1"/>
  <c r="H116" i="6"/>
  <c r="K116" i="6" s="1"/>
  <c r="L116" i="6" s="1"/>
  <c r="H104" i="6"/>
  <c r="K104" i="6" s="1"/>
  <c r="L104" i="6" s="1"/>
  <c r="H92" i="6"/>
  <c r="K92" i="6" s="1"/>
  <c r="L92" i="6" s="1"/>
  <c r="H80" i="6"/>
  <c r="H68" i="6"/>
  <c r="H56" i="6"/>
  <c r="H44" i="6"/>
  <c r="H32" i="6"/>
  <c r="H20" i="6"/>
  <c r="H36" i="6"/>
  <c r="H12" i="6"/>
  <c r="H135" i="6"/>
  <c r="H123" i="6"/>
  <c r="H111" i="6"/>
  <c r="K111" i="6" s="1"/>
  <c r="L111" i="6" s="1"/>
  <c r="H99" i="6"/>
  <c r="K99" i="6" s="1"/>
  <c r="L99" i="6" s="1"/>
  <c r="H87" i="6"/>
  <c r="H75" i="6"/>
  <c r="H63" i="6"/>
  <c r="H51" i="6"/>
  <c r="H39" i="6"/>
  <c r="H27" i="6"/>
  <c r="H15" i="6"/>
  <c r="H60" i="6"/>
  <c r="H130" i="6"/>
  <c r="H118" i="6"/>
  <c r="H106" i="6"/>
  <c r="H94" i="6"/>
  <c r="H82" i="6"/>
  <c r="H70" i="6"/>
  <c r="H58" i="6"/>
  <c r="H46" i="6"/>
  <c r="H34" i="6"/>
  <c r="H22" i="6"/>
  <c r="H10" i="6"/>
  <c r="H125" i="6"/>
  <c r="H113" i="6"/>
  <c r="H77" i="6"/>
  <c r="K77" i="6" s="1"/>
  <c r="L77" i="6" s="1"/>
  <c r="H53" i="6"/>
  <c r="K53" i="6" s="1"/>
  <c r="L53" i="6" s="1"/>
  <c r="H132" i="6"/>
  <c r="H72" i="6"/>
  <c r="H134" i="6"/>
  <c r="H105" i="6"/>
  <c r="H69" i="6"/>
  <c r="H33" i="6"/>
  <c r="H129" i="6"/>
  <c r="H28" i="6"/>
  <c r="H91" i="6"/>
  <c r="H112" i="6"/>
  <c r="H76" i="6"/>
  <c r="H40" i="6"/>
  <c r="H100" i="6"/>
  <c r="H64" i="6"/>
  <c r="H19" i="6"/>
  <c r="H103" i="6"/>
  <c r="H67" i="6"/>
  <c r="H31" i="6"/>
  <c r="H110" i="6"/>
  <c r="H74" i="6"/>
  <c r="H38" i="6"/>
  <c r="H55" i="6"/>
  <c r="K55" i="6" s="1"/>
  <c r="L55" i="6" s="1"/>
  <c r="H26" i="6"/>
  <c r="H117" i="6"/>
  <c r="H81" i="6"/>
  <c r="K81" i="6" s="1"/>
  <c r="L81" i="6" s="1"/>
  <c r="H45" i="6"/>
  <c r="H88" i="6"/>
  <c r="H52" i="6"/>
  <c r="H16" i="6"/>
  <c r="H98" i="6"/>
  <c r="H124" i="6"/>
  <c r="H115" i="6"/>
  <c r="H79" i="6"/>
  <c r="K79" i="6" s="1"/>
  <c r="L79" i="6" s="1"/>
  <c r="H43" i="6"/>
  <c r="H127" i="6"/>
  <c r="H122" i="6"/>
  <c r="K122" i="6" s="1"/>
  <c r="L122" i="6" s="1"/>
  <c r="H86" i="6"/>
  <c r="K86" i="6" s="1"/>
  <c r="L86" i="6" s="1"/>
  <c r="H50" i="6"/>
  <c r="H14" i="6"/>
  <c r="H93" i="6"/>
  <c r="H57" i="6"/>
  <c r="H21" i="6"/>
  <c r="H62" i="6"/>
  <c r="I126" i="6"/>
  <c r="I114" i="6"/>
  <c r="I102" i="6"/>
  <c r="I90" i="6"/>
  <c r="I78" i="6"/>
  <c r="I66" i="6"/>
  <c r="I54" i="6"/>
  <c r="I42" i="6"/>
  <c r="I30" i="6"/>
  <c r="I18" i="6"/>
  <c r="I132" i="6"/>
  <c r="I36" i="6"/>
  <c r="I24" i="6"/>
  <c r="I12" i="6"/>
  <c r="I91" i="6"/>
  <c r="I67" i="6"/>
  <c r="I133" i="6"/>
  <c r="I121" i="6"/>
  <c r="I109" i="6"/>
  <c r="I97" i="6"/>
  <c r="I85" i="6"/>
  <c r="I73" i="6"/>
  <c r="I61" i="6"/>
  <c r="I49" i="6"/>
  <c r="I37" i="6"/>
  <c r="I25" i="6"/>
  <c r="I13" i="6"/>
  <c r="I72" i="6"/>
  <c r="I115" i="6"/>
  <c r="I103" i="6"/>
  <c r="I128" i="6"/>
  <c r="I116" i="6"/>
  <c r="I104" i="6"/>
  <c r="I92" i="6"/>
  <c r="I80" i="6"/>
  <c r="I68" i="6"/>
  <c r="I56" i="6"/>
  <c r="I44" i="6"/>
  <c r="I32" i="6"/>
  <c r="I20" i="6"/>
  <c r="I135" i="6"/>
  <c r="I123" i="6"/>
  <c r="I111" i="6"/>
  <c r="I99" i="6"/>
  <c r="I87" i="6"/>
  <c r="I75" i="6"/>
  <c r="I63" i="6"/>
  <c r="I51" i="6"/>
  <c r="I39" i="6"/>
  <c r="I27" i="6"/>
  <c r="I15" i="6"/>
  <c r="I120" i="6"/>
  <c r="I108" i="6"/>
  <c r="I48" i="6"/>
  <c r="I79" i="6"/>
  <c r="I55" i="6"/>
  <c r="I43" i="6"/>
  <c r="I31" i="6"/>
  <c r="I19" i="6"/>
  <c r="I134" i="6"/>
  <c r="I122" i="6"/>
  <c r="I130" i="6"/>
  <c r="I118" i="6"/>
  <c r="I106" i="6"/>
  <c r="I94" i="6"/>
  <c r="I82" i="6"/>
  <c r="I70" i="6"/>
  <c r="I58" i="6"/>
  <c r="I46" i="6"/>
  <c r="I34" i="6"/>
  <c r="I22" i="6"/>
  <c r="I10" i="6"/>
  <c r="I60" i="6"/>
  <c r="I127" i="6"/>
  <c r="I125" i="6"/>
  <c r="I113" i="6"/>
  <c r="I101" i="6"/>
  <c r="I89" i="6"/>
  <c r="I77" i="6"/>
  <c r="I65" i="6"/>
  <c r="I53" i="6"/>
  <c r="I41" i="6"/>
  <c r="I29" i="6"/>
  <c r="I17" i="6"/>
  <c r="I96" i="6"/>
  <c r="I84" i="6"/>
  <c r="I112" i="6"/>
  <c r="I76" i="6"/>
  <c r="I40" i="6"/>
  <c r="I28" i="6"/>
  <c r="I71" i="6"/>
  <c r="I119" i="6"/>
  <c r="I83" i="6"/>
  <c r="I47" i="6"/>
  <c r="I11" i="6"/>
  <c r="I35" i="6"/>
  <c r="I62" i="6"/>
  <c r="I26" i="6"/>
  <c r="I110" i="6"/>
  <c r="I74" i="6"/>
  <c r="I38" i="6"/>
  <c r="I117" i="6"/>
  <c r="I81" i="6"/>
  <c r="I45" i="6"/>
  <c r="I16" i="6"/>
  <c r="I107" i="6"/>
  <c r="I88" i="6"/>
  <c r="I52" i="6"/>
  <c r="I124" i="6"/>
  <c r="I95" i="6"/>
  <c r="I59" i="6"/>
  <c r="I23" i="6"/>
  <c r="I33" i="6"/>
  <c r="I131" i="6"/>
  <c r="I86" i="6"/>
  <c r="I50" i="6"/>
  <c r="I14" i="6"/>
  <c r="I98" i="6"/>
  <c r="I69" i="6"/>
  <c r="I93" i="6"/>
  <c r="I57" i="6"/>
  <c r="I21" i="6"/>
  <c r="I129" i="6"/>
  <c r="I100" i="6"/>
  <c r="I64" i="6"/>
  <c r="I105" i="6"/>
  <c r="H131" i="5"/>
  <c r="H119" i="5"/>
  <c r="H107" i="5"/>
  <c r="H95" i="5"/>
  <c r="H83" i="5"/>
  <c r="H71" i="5"/>
  <c r="K71" i="5" s="1"/>
  <c r="L71" i="5" s="1"/>
  <c r="H59" i="5"/>
  <c r="H47" i="5"/>
  <c r="H35" i="5"/>
  <c r="H23" i="5"/>
  <c r="K23" i="5" s="1"/>
  <c r="L23" i="5" s="1"/>
  <c r="H11" i="5"/>
  <c r="K11" i="5" s="1"/>
  <c r="L11" i="5" s="1"/>
  <c r="H25" i="5"/>
  <c r="K25" i="5" s="1"/>
  <c r="L25" i="5" s="1"/>
  <c r="H13" i="5"/>
  <c r="H127" i="5"/>
  <c r="H115" i="5"/>
  <c r="H98" i="5"/>
  <c r="H86" i="5"/>
  <c r="H126" i="5"/>
  <c r="H114" i="5"/>
  <c r="H102" i="5"/>
  <c r="H90" i="5"/>
  <c r="H78" i="5"/>
  <c r="H66" i="5"/>
  <c r="H54" i="5"/>
  <c r="K54" i="5" s="1"/>
  <c r="L54" i="5" s="1"/>
  <c r="H42" i="5"/>
  <c r="H30" i="5"/>
  <c r="H18" i="5"/>
  <c r="H108" i="5"/>
  <c r="H72" i="5"/>
  <c r="K72" i="5" s="1"/>
  <c r="L72" i="5" s="1"/>
  <c r="H133" i="5"/>
  <c r="H121" i="5"/>
  <c r="H109" i="5"/>
  <c r="H97" i="5"/>
  <c r="H85" i="5"/>
  <c r="H73" i="5"/>
  <c r="H61" i="5"/>
  <c r="K61" i="5" s="1"/>
  <c r="L61" i="5" s="1"/>
  <c r="H49" i="5"/>
  <c r="H37" i="5"/>
  <c r="H103" i="5"/>
  <c r="H110" i="5"/>
  <c r="H128" i="5"/>
  <c r="H116" i="5"/>
  <c r="K116" i="5" s="1"/>
  <c r="L116" i="5" s="1"/>
  <c r="H104" i="5"/>
  <c r="K104" i="5" s="1"/>
  <c r="L104" i="5" s="1"/>
  <c r="H92" i="5"/>
  <c r="H80" i="5"/>
  <c r="K80" i="5" s="1"/>
  <c r="L80" i="5" s="1"/>
  <c r="H68" i="5"/>
  <c r="K68" i="5" s="1"/>
  <c r="L68" i="5" s="1"/>
  <c r="H56" i="5"/>
  <c r="K56" i="5" s="1"/>
  <c r="L56" i="5" s="1"/>
  <c r="H44" i="5"/>
  <c r="K44" i="5" s="1"/>
  <c r="L44" i="5" s="1"/>
  <c r="H32" i="5"/>
  <c r="H20" i="5"/>
  <c r="H132" i="5"/>
  <c r="H84" i="5"/>
  <c r="H36" i="5"/>
  <c r="H12" i="5"/>
  <c r="H43" i="5"/>
  <c r="H31" i="5"/>
  <c r="H135" i="5"/>
  <c r="H123" i="5"/>
  <c r="K123" i="5" s="1"/>
  <c r="L123" i="5" s="1"/>
  <c r="H111" i="5"/>
  <c r="K111" i="5" s="1"/>
  <c r="L111" i="5" s="1"/>
  <c r="H99" i="5"/>
  <c r="K99" i="5" s="1"/>
  <c r="L99" i="5" s="1"/>
  <c r="H87" i="5"/>
  <c r="H75" i="5"/>
  <c r="H63" i="5"/>
  <c r="H51" i="5"/>
  <c r="H39" i="5"/>
  <c r="H27" i="5"/>
  <c r="H15" i="5"/>
  <c r="H60" i="5"/>
  <c r="K60" i="5" s="1"/>
  <c r="L60" i="5" s="1"/>
  <c r="H24" i="5"/>
  <c r="K24" i="5" s="1"/>
  <c r="L24" i="5" s="1"/>
  <c r="H79" i="5"/>
  <c r="K79" i="5" s="1"/>
  <c r="L79" i="5" s="1"/>
  <c r="H67" i="5"/>
  <c r="H134" i="5"/>
  <c r="K134" i="5" s="1"/>
  <c r="L134" i="5" s="1"/>
  <c r="H122" i="5"/>
  <c r="H74" i="5"/>
  <c r="H130" i="5"/>
  <c r="H118" i="5"/>
  <c r="H106" i="5"/>
  <c r="H94" i="5"/>
  <c r="H82" i="5"/>
  <c r="H70" i="5"/>
  <c r="H58" i="5"/>
  <c r="H46" i="5"/>
  <c r="H34" i="5"/>
  <c r="H22" i="5"/>
  <c r="K22" i="5" s="1"/>
  <c r="L22" i="5" s="1"/>
  <c r="H10" i="5"/>
  <c r="H91" i="5"/>
  <c r="H55" i="5"/>
  <c r="H19" i="5"/>
  <c r="H125" i="5"/>
  <c r="H113" i="5"/>
  <c r="H101" i="5"/>
  <c r="H89" i="5"/>
  <c r="H77" i="5"/>
  <c r="K77" i="5" s="1"/>
  <c r="L77" i="5" s="1"/>
  <c r="H65" i="5"/>
  <c r="K65" i="5" s="1"/>
  <c r="L65" i="5" s="1"/>
  <c r="H53" i="5"/>
  <c r="K53" i="5" s="1"/>
  <c r="L53" i="5" s="1"/>
  <c r="H41" i="5"/>
  <c r="K41" i="5" s="1"/>
  <c r="L41" i="5" s="1"/>
  <c r="H29" i="5"/>
  <c r="H17" i="5"/>
  <c r="H120" i="5"/>
  <c r="H96" i="5"/>
  <c r="H48" i="5"/>
  <c r="K48" i="5" s="1"/>
  <c r="L48" i="5" s="1"/>
  <c r="H105" i="5"/>
  <c r="H62" i="5"/>
  <c r="K62" i="5" s="1"/>
  <c r="L62" i="5" s="1"/>
  <c r="H14" i="5"/>
  <c r="K14" i="5" s="1"/>
  <c r="L14" i="5" s="1"/>
  <c r="H117" i="5"/>
  <c r="H52" i="5"/>
  <c r="K52" i="5" s="1"/>
  <c r="L52" i="5" s="1"/>
  <c r="H64" i="5"/>
  <c r="K64" i="5" s="1"/>
  <c r="L64" i="5" s="1"/>
  <c r="H76" i="5"/>
  <c r="H33" i="5"/>
  <c r="H57" i="5"/>
  <c r="H81" i="5"/>
  <c r="H88" i="5"/>
  <c r="H50" i="5"/>
  <c r="H16" i="5"/>
  <c r="H129" i="5"/>
  <c r="H21" i="5"/>
  <c r="H45" i="5"/>
  <c r="K45" i="5" s="1"/>
  <c r="L45" i="5" s="1"/>
  <c r="H100" i="5"/>
  <c r="H40" i="5"/>
  <c r="H28" i="5"/>
  <c r="K28" i="5" s="1"/>
  <c r="L28" i="5" s="1"/>
  <c r="H124" i="5"/>
  <c r="H69" i="5"/>
  <c r="H38" i="5"/>
  <c r="H112" i="5"/>
  <c r="H26" i="5"/>
  <c r="H93" i="5"/>
  <c r="I126" i="5"/>
  <c r="I114" i="5"/>
  <c r="I102" i="5"/>
  <c r="I90" i="5"/>
  <c r="I78" i="5"/>
  <c r="I66" i="5"/>
  <c r="I54" i="5"/>
  <c r="I42" i="5"/>
  <c r="I30" i="5"/>
  <c r="I18" i="5"/>
  <c r="I129" i="5"/>
  <c r="I81" i="5"/>
  <c r="I133" i="5"/>
  <c r="I121" i="5"/>
  <c r="I109" i="5"/>
  <c r="I97" i="5"/>
  <c r="I85" i="5"/>
  <c r="I73" i="5"/>
  <c r="I61" i="5"/>
  <c r="I49" i="5"/>
  <c r="I37" i="5"/>
  <c r="I25" i="5"/>
  <c r="I13" i="5"/>
  <c r="I56" i="5"/>
  <c r="I32" i="5"/>
  <c r="I31" i="5"/>
  <c r="I122" i="5"/>
  <c r="I105" i="5"/>
  <c r="I93" i="5"/>
  <c r="I128" i="5"/>
  <c r="I116" i="5"/>
  <c r="I104" i="5"/>
  <c r="I92" i="5"/>
  <c r="I80" i="5"/>
  <c r="I68" i="5"/>
  <c r="I44" i="5"/>
  <c r="I20" i="5"/>
  <c r="I110" i="5"/>
  <c r="I74" i="5"/>
  <c r="I50" i="5"/>
  <c r="I69" i="5"/>
  <c r="I135" i="5"/>
  <c r="I123" i="5"/>
  <c r="I111" i="5"/>
  <c r="I99" i="5"/>
  <c r="I87" i="5"/>
  <c r="I75" i="5"/>
  <c r="I63" i="5"/>
  <c r="I51" i="5"/>
  <c r="I39" i="5"/>
  <c r="I27" i="5"/>
  <c r="I15" i="5"/>
  <c r="I55" i="5"/>
  <c r="I19" i="5"/>
  <c r="I134" i="5"/>
  <c r="I62" i="5"/>
  <c r="I14" i="5"/>
  <c r="I130" i="5"/>
  <c r="I118" i="5"/>
  <c r="I106" i="5"/>
  <c r="I94" i="5"/>
  <c r="I82" i="5"/>
  <c r="I70" i="5"/>
  <c r="I58" i="5"/>
  <c r="I46" i="5"/>
  <c r="I34" i="5"/>
  <c r="I22" i="5"/>
  <c r="I10" i="5"/>
  <c r="I79" i="5"/>
  <c r="I98" i="5"/>
  <c r="I86" i="5"/>
  <c r="I38" i="5"/>
  <c r="I26" i="5"/>
  <c r="I117" i="5"/>
  <c r="I125" i="5"/>
  <c r="I113" i="5"/>
  <c r="I101" i="5"/>
  <c r="I89" i="5"/>
  <c r="I77" i="5"/>
  <c r="I65" i="5"/>
  <c r="I53" i="5"/>
  <c r="I41" i="5"/>
  <c r="I29" i="5"/>
  <c r="I17" i="5"/>
  <c r="I127" i="5"/>
  <c r="I132" i="5"/>
  <c r="I120" i="5"/>
  <c r="I108" i="5"/>
  <c r="I96" i="5"/>
  <c r="I84" i="5"/>
  <c r="I72" i="5"/>
  <c r="I60" i="5"/>
  <c r="I48" i="5"/>
  <c r="I36" i="5"/>
  <c r="I24" i="5"/>
  <c r="I12" i="5"/>
  <c r="I115" i="5"/>
  <c r="I103" i="5"/>
  <c r="I91" i="5"/>
  <c r="I67" i="5"/>
  <c r="I43" i="5"/>
  <c r="I76" i="5"/>
  <c r="I33" i="5"/>
  <c r="I88" i="5"/>
  <c r="I23" i="5"/>
  <c r="I119" i="5"/>
  <c r="I52" i="5"/>
  <c r="I64" i="5"/>
  <c r="I35" i="5"/>
  <c r="I131" i="5"/>
  <c r="I21" i="5"/>
  <c r="I100" i="5"/>
  <c r="I40" i="5"/>
  <c r="I107" i="5"/>
  <c r="I71" i="5"/>
  <c r="I59" i="5"/>
  <c r="I11" i="5"/>
  <c r="I83" i="5"/>
  <c r="I47" i="5"/>
  <c r="I45" i="5"/>
  <c r="I112" i="5"/>
  <c r="I57" i="5"/>
  <c r="I28" i="5"/>
  <c r="I124" i="5"/>
  <c r="I95" i="5"/>
  <c r="I16" i="5"/>
  <c r="K76" i="4"/>
  <c r="L76" i="4" s="1"/>
  <c r="K18" i="4"/>
  <c r="L18" i="4" s="1"/>
  <c r="K77" i="4"/>
  <c r="L77" i="4" s="1"/>
  <c r="K27" i="4"/>
  <c r="L27" i="4" s="1"/>
  <c r="K15" i="4"/>
  <c r="L15" i="4" s="1"/>
  <c r="K35" i="4"/>
  <c r="L35" i="4" s="1"/>
  <c r="K100" i="4"/>
  <c r="L100" i="4" s="1"/>
  <c r="K114" i="4"/>
  <c r="L114" i="4" s="1"/>
  <c r="K96" i="4"/>
  <c r="L96" i="4" s="1"/>
  <c r="K94" i="4"/>
  <c r="L94" i="4" s="1"/>
  <c r="K71" i="4"/>
  <c r="L71" i="4" s="1"/>
  <c r="K11" i="4"/>
  <c r="L11" i="4" s="1"/>
  <c r="K86" i="4"/>
  <c r="L86" i="4" s="1"/>
  <c r="K39" i="4"/>
  <c r="L39" i="4" s="1"/>
  <c r="K47" i="4"/>
  <c r="L47" i="4" s="1"/>
  <c r="K89" i="4"/>
  <c r="L89" i="4" s="1"/>
  <c r="K10" i="4"/>
  <c r="L10" i="4" s="1"/>
  <c r="K69" i="4"/>
  <c r="L69" i="4" s="1"/>
  <c r="K134" i="4"/>
  <c r="L134" i="4" s="1"/>
  <c r="K54" i="4"/>
  <c r="L54" i="4" s="1"/>
  <c r="K45" i="4"/>
  <c r="L45" i="4" s="1"/>
  <c r="K17" i="4"/>
  <c r="L17" i="4" s="1"/>
  <c r="K28" i="4"/>
  <c r="L28" i="4" s="1"/>
  <c r="K16" i="4"/>
  <c r="L16" i="4" s="1"/>
  <c r="K132" i="4"/>
  <c r="L132" i="4" s="1"/>
  <c r="K88" i="4"/>
  <c r="L88" i="4" s="1"/>
  <c r="K101" i="4"/>
  <c r="L101" i="4" s="1"/>
  <c r="K115" i="4"/>
  <c r="L115" i="4" s="1"/>
  <c r="K108" i="4"/>
  <c r="L108" i="4" s="1"/>
  <c r="K40" i="4"/>
  <c r="L40" i="4" s="1"/>
  <c r="K126" i="4"/>
  <c r="L126" i="4" s="1"/>
  <c r="K118" i="4"/>
  <c r="L118" i="4" s="1"/>
  <c r="K34" i="4"/>
  <c r="L34" i="4" s="1"/>
  <c r="K55" i="4"/>
  <c r="L55" i="4" s="1"/>
  <c r="K14" i="4"/>
  <c r="L14" i="4" s="1"/>
  <c r="K85" i="4"/>
  <c r="L85" i="4" s="1"/>
  <c r="K70" i="4"/>
  <c r="L70" i="4" s="1"/>
  <c r="K84" i="4"/>
  <c r="L84" i="4" s="1"/>
  <c r="K64" i="4"/>
  <c r="L64" i="4" s="1"/>
  <c r="K30" i="4"/>
  <c r="L30" i="4" s="1"/>
  <c r="K81" i="4"/>
  <c r="L81" i="4" s="1"/>
  <c r="K102" i="4"/>
  <c r="L102" i="4" s="1"/>
  <c r="K90" i="4"/>
  <c r="L90" i="4" s="1"/>
  <c r="K75" i="4"/>
  <c r="L75" i="4" s="1"/>
  <c r="K111" i="4"/>
  <c r="L111" i="4" s="1"/>
  <c r="K48" i="4"/>
  <c r="L48" i="4" s="1"/>
  <c r="K103" i="4"/>
  <c r="L103" i="4" s="1"/>
  <c r="K121" i="4"/>
  <c r="L121" i="4" s="1"/>
  <c r="K59" i="4"/>
  <c r="L59" i="4" s="1"/>
  <c r="K53" i="4"/>
  <c r="L53" i="4" s="1"/>
  <c r="K95" i="4"/>
  <c r="L95" i="4" s="1"/>
  <c r="K104" i="4"/>
  <c r="L104" i="4" s="1"/>
  <c r="K23" i="4"/>
  <c r="L23" i="4" s="1"/>
  <c r="K42" i="4"/>
  <c r="L42" i="4" s="1"/>
  <c r="K37" i="4"/>
  <c r="L37" i="4" s="1"/>
  <c r="K19" i="4"/>
  <c r="L19" i="4" s="1"/>
  <c r="K29" i="4"/>
  <c r="L29" i="4" s="1"/>
  <c r="K68" i="4"/>
  <c r="L68" i="4" s="1"/>
  <c r="K123" i="4"/>
  <c r="L123" i="4" s="1"/>
  <c r="K82" i="4"/>
  <c r="L82" i="4" s="1"/>
  <c r="K67" i="4"/>
  <c r="L67" i="4" s="1"/>
  <c r="K12" i="4"/>
  <c r="L12" i="4" s="1"/>
  <c r="K99" i="4"/>
  <c r="L99" i="4" s="1"/>
  <c r="K36" i="4"/>
  <c r="L36" i="4" s="1"/>
  <c r="K116" i="4"/>
  <c r="L116" i="4" s="1"/>
  <c r="K61" i="4"/>
  <c r="L61" i="4" s="1"/>
  <c r="K24" i="4"/>
  <c r="L24" i="4" s="1"/>
  <c r="K109" i="4"/>
  <c r="L109" i="4" s="1"/>
  <c r="K22" i="4"/>
  <c r="L22" i="4" s="1"/>
  <c r="K49" i="4"/>
  <c r="L49" i="4" s="1"/>
  <c r="K97" i="4"/>
  <c r="L97" i="4" s="1"/>
  <c r="K113" i="4"/>
  <c r="L113" i="4" s="1"/>
  <c r="K93" i="4"/>
  <c r="L93" i="4" s="1"/>
  <c r="K112" i="4"/>
  <c r="L112" i="4" s="1"/>
  <c r="K83" i="4"/>
  <c r="L83" i="4" s="1"/>
  <c r="K106" i="4"/>
  <c r="L106" i="4" s="1"/>
  <c r="K33" i="4"/>
  <c r="L33" i="4" s="1"/>
  <c r="K51" i="4"/>
  <c r="L51" i="4" s="1"/>
  <c r="K62" i="4"/>
  <c r="L62" i="4" s="1"/>
  <c r="K25" i="4"/>
  <c r="L25" i="4" s="1"/>
  <c r="K43" i="4"/>
  <c r="L43" i="4" s="1"/>
  <c r="K74" i="4"/>
  <c r="L74" i="4" s="1"/>
  <c r="K38" i="4"/>
  <c r="L38" i="4" s="1"/>
  <c r="K80" i="4"/>
  <c r="L80" i="4" s="1"/>
  <c r="K60" i="4"/>
  <c r="L60" i="4" s="1"/>
  <c r="K66" i="4"/>
  <c r="L66" i="4" s="1"/>
  <c r="K110" i="4"/>
  <c r="L110" i="4" s="1"/>
  <c r="K129" i="4"/>
  <c r="L129" i="4" s="1"/>
  <c r="K72" i="4"/>
  <c r="L72" i="4" s="1"/>
  <c r="K26" i="4"/>
  <c r="L26" i="4" s="1"/>
  <c r="K13" i="4"/>
  <c r="L13" i="4" s="1"/>
  <c r="K91" i="4"/>
  <c r="L91" i="4" s="1"/>
  <c r="K98" i="4"/>
  <c r="L98" i="4" s="1"/>
  <c r="K32" i="4"/>
  <c r="L32" i="4" s="1"/>
  <c r="K20" i="4"/>
  <c r="L20" i="4" s="1"/>
  <c r="K50" i="4"/>
  <c r="L50" i="4" s="1"/>
  <c r="K92" i="4"/>
  <c r="L92" i="4" s="1"/>
  <c r="K44" i="4"/>
  <c r="L44" i="4" s="1"/>
  <c r="K78" i="4"/>
  <c r="L78" i="4" s="1"/>
  <c r="K73" i="4"/>
  <c r="L73" i="4" s="1"/>
  <c r="K128" i="4"/>
  <c r="L128" i="4" s="1"/>
  <c r="K135" i="4"/>
  <c r="L135" i="4" s="1"/>
  <c r="K31" i="4"/>
  <c r="L31" i="4" s="1"/>
  <c r="K105" i="4"/>
  <c r="L105" i="4" s="1"/>
  <c r="K124" i="4"/>
  <c r="L124" i="4" s="1"/>
  <c r="K131" i="4"/>
  <c r="L131" i="4" s="1"/>
  <c r="K56" i="4"/>
  <c r="L56" i="4" s="1"/>
  <c r="K122" i="4"/>
  <c r="L122" i="4" s="1"/>
  <c r="L3" i="10" l="1"/>
  <c r="L2" i="10"/>
  <c r="L4" i="10"/>
  <c r="L3" i="9"/>
  <c r="L4" i="9"/>
  <c r="L2" i="9"/>
  <c r="K74" i="8"/>
  <c r="L74" i="8" s="1"/>
  <c r="K101" i="8"/>
  <c r="L101" i="8" s="1"/>
  <c r="K78" i="8"/>
  <c r="L78" i="8" s="1"/>
  <c r="K90" i="8"/>
  <c r="L90" i="8" s="1"/>
  <c r="K102" i="8"/>
  <c r="L102" i="8" s="1"/>
  <c r="K94" i="8"/>
  <c r="L94" i="8" s="1"/>
  <c r="K132" i="8"/>
  <c r="L132" i="8" s="1"/>
  <c r="K64" i="8"/>
  <c r="L64" i="8" s="1"/>
  <c r="K106" i="8"/>
  <c r="L106" i="8" s="1"/>
  <c r="K51" i="8"/>
  <c r="L51" i="8" s="1"/>
  <c r="K134" i="8"/>
  <c r="L134" i="8" s="1"/>
  <c r="K57" i="8"/>
  <c r="L57" i="8" s="1"/>
  <c r="K121" i="8"/>
  <c r="L121" i="8" s="1"/>
  <c r="K126" i="8"/>
  <c r="L126" i="8" s="1"/>
  <c r="K59" i="8"/>
  <c r="L59" i="8" s="1"/>
  <c r="K89" i="8"/>
  <c r="L89" i="8" s="1"/>
  <c r="K114" i="8"/>
  <c r="L114" i="8" s="1"/>
  <c r="K81" i="8"/>
  <c r="L81" i="8" s="1"/>
  <c r="K117" i="8"/>
  <c r="L117" i="8" s="1"/>
  <c r="K17" i="8"/>
  <c r="L17" i="8" s="1"/>
  <c r="K112" i="8"/>
  <c r="L112" i="8" s="1"/>
  <c r="K118" i="8"/>
  <c r="L118" i="8" s="1"/>
  <c r="K63" i="8"/>
  <c r="L63" i="8" s="1"/>
  <c r="K20" i="8"/>
  <c r="L20" i="8" s="1"/>
  <c r="K69" i="8"/>
  <c r="L69" i="8" s="1"/>
  <c r="K133" i="8"/>
  <c r="L133" i="8" s="1"/>
  <c r="K124" i="8"/>
  <c r="L124" i="8" s="1"/>
  <c r="K71" i="8"/>
  <c r="L71" i="8" s="1"/>
  <c r="K85" i="8"/>
  <c r="L85" i="8" s="1"/>
  <c r="K128" i="8"/>
  <c r="L128" i="8" s="1"/>
  <c r="K127" i="8"/>
  <c r="L127" i="8" s="1"/>
  <c r="K109" i="8"/>
  <c r="L109" i="8" s="1"/>
  <c r="K19" i="8"/>
  <c r="L19" i="8" s="1"/>
  <c r="K12" i="8"/>
  <c r="L12" i="8" s="1"/>
  <c r="K29" i="8"/>
  <c r="L29" i="8" s="1"/>
  <c r="K86" i="8"/>
  <c r="L86" i="8" s="1"/>
  <c r="K130" i="8"/>
  <c r="L130" i="8" s="1"/>
  <c r="K75" i="8"/>
  <c r="L75" i="8" s="1"/>
  <c r="K32" i="8"/>
  <c r="L32" i="8" s="1"/>
  <c r="K93" i="8"/>
  <c r="L93" i="8" s="1"/>
  <c r="K28" i="8"/>
  <c r="L28" i="8" s="1"/>
  <c r="K105" i="8"/>
  <c r="L105" i="8" s="1"/>
  <c r="K83" i="8"/>
  <c r="L83" i="8" s="1"/>
  <c r="K66" i="8"/>
  <c r="L66" i="8" s="1"/>
  <c r="K26" i="8"/>
  <c r="L26" i="8" s="1"/>
  <c r="K113" i="8"/>
  <c r="L113" i="8" s="1"/>
  <c r="K116" i="8"/>
  <c r="L116" i="8" s="1"/>
  <c r="K82" i="8"/>
  <c r="L82" i="8" s="1"/>
  <c r="K39" i="8"/>
  <c r="L39" i="8" s="1"/>
  <c r="K31" i="8"/>
  <c r="L31" i="8" s="1"/>
  <c r="K24" i="8"/>
  <c r="L24" i="8" s="1"/>
  <c r="K41" i="8"/>
  <c r="L41" i="8" s="1"/>
  <c r="K122" i="8"/>
  <c r="L122" i="8" s="1"/>
  <c r="K16" i="8"/>
  <c r="L16" i="8" s="1"/>
  <c r="K87" i="8"/>
  <c r="L87" i="8" s="1"/>
  <c r="K44" i="8"/>
  <c r="L44" i="8" s="1"/>
  <c r="K62" i="8"/>
  <c r="L62" i="8" s="1"/>
  <c r="K18" i="8"/>
  <c r="L18" i="8" s="1"/>
  <c r="K38" i="8"/>
  <c r="L38" i="8" s="1"/>
  <c r="K95" i="8"/>
  <c r="L95" i="8" s="1"/>
  <c r="K15" i="8"/>
  <c r="L15" i="8" s="1"/>
  <c r="K27" i="8"/>
  <c r="L27" i="8" s="1"/>
  <c r="K45" i="8"/>
  <c r="L45" i="8" s="1"/>
  <c r="K43" i="8"/>
  <c r="L43" i="8" s="1"/>
  <c r="K36" i="8"/>
  <c r="L36" i="8" s="1"/>
  <c r="K53" i="8"/>
  <c r="L53" i="8" s="1"/>
  <c r="K10" i="8"/>
  <c r="L10" i="8" s="1"/>
  <c r="K52" i="8"/>
  <c r="L52" i="8" s="1"/>
  <c r="K99" i="8"/>
  <c r="L99" i="8" s="1"/>
  <c r="K56" i="8"/>
  <c r="L56" i="8" s="1"/>
  <c r="K98" i="8"/>
  <c r="L98" i="8" s="1"/>
  <c r="K30" i="8"/>
  <c r="L30" i="8" s="1"/>
  <c r="K50" i="8"/>
  <c r="L50" i="8" s="1"/>
  <c r="K107" i="8"/>
  <c r="L107" i="8" s="1"/>
  <c r="K100" i="8"/>
  <c r="L100" i="8" s="1"/>
  <c r="K70" i="8"/>
  <c r="L70" i="8" s="1"/>
  <c r="K33" i="8"/>
  <c r="L33" i="8" s="1"/>
  <c r="K55" i="8"/>
  <c r="L55" i="8" s="1"/>
  <c r="K48" i="8"/>
  <c r="L48" i="8" s="1"/>
  <c r="K65" i="8"/>
  <c r="L65" i="8" s="1"/>
  <c r="K22" i="8"/>
  <c r="L22" i="8" s="1"/>
  <c r="K88" i="8"/>
  <c r="L88" i="8" s="1"/>
  <c r="K111" i="8"/>
  <c r="L111" i="8" s="1"/>
  <c r="K68" i="8"/>
  <c r="L68" i="8" s="1"/>
  <c r="K37" i="8"/>
  <c r="L37" i="8" s="1"/>
  <c r="K42" i="8"/>
  <c r="L42" i="8" s="1"/>
  <c r="K110" i="8"/>
  <c r="L110" i="8" s="1"/>
  <c r="K119" i="8"/>
  <c r="L119" i="8" s="1"/>
  <c r="K14" i="8"/>
  <c r="L14" i="8" s="1"/>
  <c r="K58" i="8"/>
  <c r="L58" i="8" s="1"/>
  <c r="K125" i="8"/>
  <c r="L125" i="8" s="1"/>
  <c r="K97" i="8"/>
  <c r="L97" i="8" s="1"/>
  <c r="K47" i="8"/>
  <c r="L47" i="8" s="1"/>
  <c r="K67" i="8"/>
  <c r="L67" i="8" s="1"/>
  <c r="K60" i="8"/>
  <c r="L60" i="8" s="1"/>
  <c r="K77" i="8"/>
  <c r="L77" i="8" s="1"/>
  <c r="K34" i="8"/>
  <c r="L34" i="8" s="1"/>
  <c r="K129" i="8"/>
  <c r="L129" i="8" s="1"/>
  <c r="K123" i="8"/>
  <c r="L123" i="8" s="1"/>
  <c r="K80" i="8"/>
  <c r="L80" i="8" s="1"/>
  <c r="K49" i="8"/>
  <c r="L49" i="8" s="1"/>
  <c r="K54" i="8"/>
  <c r="L54" i="8" s="1"/>
  <c r="K13" i="8"/>
  <c r="L13" i="8" s="1"/>
  <c r="K131" i="8"/>
  <c r="L131" i="8" s="1"/>
  <c r="K100" i="7"/>
  <c r="L100" i="7" s="1"/>
  <c r="K53" i="7"/>
  <c r="L53" i="7" s="1"/>
  <c r="K130" i="7"/>
  <c r="L130" i="7" s="1"/>
  <c r="K44" i="7"/>
  <c r="L44" i="7" s="1"/>
  <c r="K113" i="7"/>
  <c r="L113" i="7" s="1"/>
  <c r="K12" i="7"/>
  <c r="L12" i="7" s="1"/>
  <c r="K28" i="7"/>
  <c r="L28" i="7" s="1"/>
  <c r="K31" i="7"/>
  <c r="L31" i="7" s="1"/>
  <c r="K67" i="7"/>
  <c r="L67" i="7" s="1"/>
  <c r="K56" i="7"/>
  <c r="L56" i="7" s="1"/>
  <c r="K13" i="7"/>
  <c r="L13" i="7" s="1"/>
  <c r="K84" i="7"/>
  <c r="L84" i="7" s="1"/>
  <c r="K11" i="7"/>
  <c r="L11" i="7" s="1"/>
  <c r="K14" i="7"/>
  <c r="L14" i="7" s="1"/>
  <c r="K10" i="7"/>
  <c r="L10" i="7" s="1"/>
  <c r="K68" i="7"/>
  <c r="L68" i="7" s="1"/>
  <c r="K25" i="7"/>
  <c r="L25" i="7" s="1"/>
  <c r="K18" i="7"/>
  <c r="L18" i="7" s="1"/>
  <c r="K30" i="7"/>
  <c r="L30" i="7" s="1"/>
  <c r="K93" i="7"/>
  <c r="L93" i="7" s="1"/>
  <c r="K49" i="7"/>
  <c r="L49" i="7" s="1"/>
  <c r="K42" i="7"/>
  <c r="L42" i="7" s="1"/>
  <c r="K47" i="7"/>
  <c r="L47" i="7" s="1"/>
  <c r="K88" i="7"/>
  <c r="L88" i="7" s="1"/>
  <c r="K124" i="7"/>
  <c r="L124" i="7" s="1"/>
  <c r="K58" i="7"/>
  <c r="L58" i="7" s="1"/>
  <c r="K116" i="7"/>
  <c r="L116" i="7" s="1"/>
  <c r="K70" i="7"/>
  <c r="L70" i="7" s="1"/>
  <c r="K127" i="7"/>
  <c r="L127" i="7" s="1"/>
  <c r="K123" i="7"/>
  <c r="L123" i="7" s="1"/>
  <c r="K23" i="7"/>
  <c r="L23" i="7" s="1"/>
  <c r="K101" i="7"/>
  <c r="L101" i="7" s="1"/>
  <c r="K50" i="7"/>
  <c r="L50" i="7" s="1"/>
  <c r="K16" i="7"/>
  <c r="L16" i="7" s="1"/>
  <c r="K22" i="7"/>
  <c r="L22" i="7" s="1"/>
  <c r="K36" i="7"/>
  <c r="L36" i="7" s="1"/>
  <c r="K135" i="7"/>
  <c r="L135" i="7" s="1"/>
  <c r="K80" i="7"/>
  <c r="L80" i="7" s="1"/>
  <c r="K52" i="7"/>
  <c r="L52" i="7" s="1"/>
  <c r="K134" i="7"/>
  <c r="L134" i="7" s="1"/>
  <c r="K34" i="7"/>
  <c r="L34" i="7" s="1"/>
  <c r="K108" i="7"/>
  <c r="L108" i="7" s="1"/>
  <c r="K92" i="7"/>
  <c r="L92" i="7" s="1"/>
  <c r="K99" i="7"/>
  <c r="L99" i="7" s="1"/>
  <c r="K40" i="7"/>
  <c r="L40" i="7" s="1"/>
  <c r="K76" i="7"/>
  <c r="L76" i="7" s="1"/>
  <c r="K79" i="7"/>
  <c r="L79" i="7" s="1"/>
  <c r="K46" i="7"/>
  <c r="L46" i="7" s="1"/>
  <c r="K15" i="7"/>
  <c r="L15" i="7" s="1"/>
  <c r="K132" i="7"/>
  <c r="L132" i="7" s="1"/>
  <c r="K59" i="7"/>
  <c r="L59" i="7" s="1"/>
  <c r="K43" i="7"/>
  <c r="L43" i="7" s="1"/>
  <c r="K91" i="7"/>
  <c r="L91" i="7" s="1"/>
  <c r="K27" i="7"/>
  <c r="L27" i="7" s="1"/>
  <c r="K65" i="7"/>
  <c r="L65" i="7" s="1"/>
  <c r="K66" i="7"/>
  <c r="L66" i="7" s="1"/>
  <c r="K71" i="7"/>
  <c r="L71" i="7" s="1"/>
  <c r="K111" i="7"/>
  <c r="L111" i="7" s="1"/>
  <c r="K19" i="7"/>
  <c r="L19" i="7" s="1"/>
  <c r="K39" i="7"/>
  <c r="L39" i="7" s="1"/>
  <c r="K85" i="7"/>
  <c r="L85" i="7" s="1"/>
  <c r="K78" i="7"/>
  <c r="L78" i="7" s="1"/>
  <c r="K83" i="7"/>
  <c r="L83" i="7" s="1"/>
  <c r="K74" i="7"/>
  <c r="L74" i="7" s="1"/>
  <c r="K103" i="7"/>
  <c r="L103" i="7" s="1"/>
  <c r="K21" i="7"/>
  <c r="L21" i="7" s="1"/>
  <c r="K122" i="7"/>
  <c r="L122" i="7" s="1"/>
  <c r="K55" i="7"/>
  <c r="L55" i="7" s="1"/>
  <c r="K115" i="7"/>
  <c r="L115" i="7" s="1"/>
  <c r="K82" i="7"/>
  <c r="L82" i="7" s="1"/>
  <c r="K51" i="7"/>
  <c r="L51" i="7" s="1"/>
  <c r="K89" i="7"/>
  <c r="L89" i="7" s="1"/>
  <c r="K48" i="7"/>
  <c r="L48" i="7" s="1"/>
  <c r="K97" i="7"/>
  <c r="L97" i="7" s="1"/>
  <c r="K90" i="7"/>
  <c r="L90" i="7" s="1"/>
  <c r="K95" i="7"/>
  <c r="L95" i="7" s="1"/>
  <c r="K57" i="7"/>
  <c r="L57" i="7" s="1"/>
  <c r="K69" i="7"/>
  <c r="L69" i="7" s="1"/>
  <c r="K64" i="7"/>
  <c r="L64" i="7" s="1"/>
  <c r="K72" i="7"/>
  <c r="L72" i="7" s="1"/>
  <c r="K94" i="7"/>
  <c r="L94" i="7" s="1"/>
  <c r="K63" i="7"/>
  <c r="L63" i="7" s="1"/>
  <c r="K125" i="7"/>
  <c r="L125" i="7" s="1"/>
  <c r="K96" i="7"/>
  <c r="L96" i="7" s="1"/>
  <c r="K109" i="7"/>
  <c r="L109" i="7" s="1"/>
  <c r="K102" i="7"/>
  <c r="L102" i="7" s="1"/>
  <c r="K107" i="7"/>
  <c r="L107" i="7" s="1"/>
  <c r="K112" i="7"/>
  <c r="L112" i="7" s="1"/>
  <c r="K117" i="7"/>
  <c r="L117" i="7" s="1"/>
  <c r="K110" i="7"/>
  <c r="L110" i="7" s="1"/>
  <c r="K17" i="7"/>
  <c r="L17" i="7" s="1"/>
  <c r="K106" i="7"/>
  <c r="L106" i="7" s="1"/>
  <c r="K75" i="7"/>
  <c r="L75" i="7" s="1"/>
  <c r="K20" i="7"/>
  <c r="L20" i="7" s="1"/>
  <c r="K120" i="7"/>
  <c r="L120" i="7" s="1"/>
  <c r="K121" i="7"/>
  <c r="L121" i="7" s="1"/>
  <c r="K114" i="7"/>
  <c r="L114" i="7" s="1"/>
  <c r="K119" i="7"/>
  <c r="L119" i="7" s="1"/>
  <c r="K38" i="7"/>
  <c r="L38" i="7" s="1"/>
  <c r="K98" i="7"/>
  <c r="L98" i="7" s="1"/>
  <c r="K33" i="7"/>
  <c r="L33" i="7" s="1"/>
  <c r="K26" i="7"/>
  <c r="L26" i="7" s="1"/>
  <c r="K45" i="7"/>
  <c r="L45" i="7" s="1"/>
  <c r="K29" i="7"/>
  <c r="L29" i="7" s="1"/>
  <c r="K118" i="7"/>
  <c r="L118" i="7" s="1"/>
  <c r="K87" i="7"/>
  <c r="L87" i="7" s="1"/>
  <c r="K32" i="7"/>
  <c r="L32" i="7" s="1"/>
  <c r="K41" i="7"/>
  <c r="L41" i="7" s="1"/>
  <c r="K133" i="7"/>
  <c r="L133" i="7" s="1"/>
  <c r="K126" i="7"/>
  <c r="L126" i="7" s="1"/>
  <c r="K131" i="7"/>
  <c r="L131" i="7" s="1"/>
  <c r="K100" i="6"/>
  <c r="L100" i="6" s="1"/>
  <c r="K132" i="6"/>
  <c r="L132" i="6" s="1"/>
  <c r="K94" i="6"/>
  <c r="L94" i="6" s="1"/>
  <c r="K101" i="6"/>
  <c r="L101" i="6" s="1"/>
  <c r="K106" i="6"/>
  <c r="L106" i="6" s="1"/>
  <c r="K11" i="6"/>
  <c r="L11" i="6" s="1"/>
  <c r="K127" i="6"/>
  <c r="L127" i="6" s="1"/>
  <c r="K26" i="6"/>
  <c r="L26" i="6" s="1"/>
  <c r="K118" i="6"/>
  <c r="L118" i="6" s="1"/>
  <c r="K43" i="6"/>
  <c r="L43" i="6" s="1"/>
  <c r="K47" i="6"/>
  <c r="L47" i="6" s="1"/>
  <c r="K130" i="6"/>
  <c r="L130" i="6" s="1"/>
  <c r="K35" i="6"/>
  <c r="L35" i="6" s="1"/>
  <c r="K60" i="6"/>
  <c r="L60" i="6" s="1"/>
  <c r="K96" i="6"/>
  <c r="L96" i="6" s="1"/>
  <c r="K70" i="6"/>
  <c r="L70" i="6" s="1"/>
  <c r="K40" i="6"/>
  <c r="L40" i="6" s="1"/>
  <c r="K66" i="6"/>
  <c r="L66" i="6" s="1"/>
  <c r="K125" i="6"/>
  <c r="L125" i="6" s="1"/>
  <c r="K115" i="6"/>
  <c r="L115" i="6" s="1"/>
  <c r="K74" i="6"/>
  <c r="L74" i="6" s="1"/>
  <c r="K28" i="6"/>
  <c r="L28" i="6" s="1"/>
  <c r="K10" i="6"/>
  <c r="L10" i="6" s="1"/>
  <c r="K15" i="6"/>
  <c r="L15" i="6" s="1"/>
  <c r="K36" i="6"/>
  <c r="L36" i="6" s="1"/>
  <c r="K41" i="6"/>
  <c r="L41" i="6" s="1"/>
  <c r="K133" i="6"/>
  <c r="L133" i="6" s="1"/>
  <c r="K114" i="6"/>
  <c r="L114" i="6" s="1"/>
  <c r="K59" i="6"/>
  <c r="L59" i="6" s="1"/>
  <c r="K76" i="6"/>
  <c r="L76" i="6" s="1"/>
  <c r="K78" i="6"/>
  <c r="L78" i="6" s="1"/>
  <c r="K112" i="6"/>
  <c r="L112" i="6" s="1"/>
  <c r="K135" i="6"/>
  <c r="L135" i="6" s="1"/>
  <c r="K102" i="6"/>
  <c r="L102" i="6" s="1"/>
  <c r="K62" i="6"/>
  <c r="L62" i="6" s="1"/>
  <c r="K124" i="6"/>
  <c r="L124" i="6" s="1"/>
  <c r="K110" i="6"/>
  <c r="L110" i="6" s="1"/>
  <c r="K129" i="6"/>
  <c r="L129" i="6" s="1"/>
  <c r="K22" i="6"/>
  <c r="L22" i="6" s="1"/>
  <c r="K27" i="6"/>
  <c r="L27" i="6" s="1"/>
  <c r="K20" i="6"/>
  <c r="L20" i="6" s="1"/>
  <c r="K65" i="6"/>
  <c r="L65" i="6" s="1"/>
  <c r="K24" i="6"/>
  <c r="L24" i="6" s="1"/>
  <c r="K126" i="6"/>
  <c r="L126" i="6" s="1"/>
  <c r="K21" i="6"/>
  <c r="L21" i="6" s="1"/>
  <c r="K98" i="6"/>
  <c r="L98" i="6" s="1"/>
  <c r="K31" i="6"/>
  <c r="L31" i="6" s="1"/>
  <c r="K33" i="6"/>
  <c r="L33" i="6" s="1"/>
  <c r="K34" i="6"/>
  <c r="L34" i="6" s="1"/>
  <c r="K39" i="6"/>
  <c r="L39" i="6" s="1"/>
  <c r="K32" i="6"/>
  <c r="L32" i="6" s="1"/>
  <c r="K13" i="6"/>
  <c r="L13" i="6" s="1"/>
  <c r="K48" i="6"/>
  <c r="L48" i="6" s="1"/>
  <c r="K108" i="6"/>
  <c r="L108" i="6" s="1"/>
  <c r="K83" i="6"/>
  <c r="L83" i="6" s="1"/>
  <c r="K123" i="6"/>
  <c r="L123" i="6" s="1"/>
  <c r="K113" i="6"/>
  <c r="L113" i="6" s="1"/>
  <c r="K57" i="6"/>
  <c r="L57" i="6" s="1"/>
  <c r="K16" i="6"/>
  <c r="L16" i="6" s="1"/>
  <c r="K67" i="6"/>
  <c r="L67" i="6" s="1"/>
  <c r="K69" i="6"/>
  <c r="L69" i="6" s="1"/>
  <c r="K46" i="6"/>
  <c r="L46" i="6" s="1"/>
  <c r="K51" i="6"/>
  <c r="L51" i="6" s="1"/>
  <c r="K44" i="6"/>
  <c r="L44" i="6" s="1"/>
  <c r="K25" i="6"/>
  <c r="L25" i="6" s="1"/>
  <c r="K84" i="6"/>
  <c r="L84" i="6" s="1"/>
  <c r="K120" i="6"/>
  <c r="L120" i="6" s="1"/>
  <c r="K95" i="6"/>
  <c r="L95" i="6" s="1"/>
  <c r="K23" i="6"/>
  <c r="L23" i="6" s="1"/>
  <c r="K93" i="6"/>
  <c r="L93" i="6" s="1"/>
  <c r="K52" i="6"/>
  <c r="L52" i="6" s="1"/>
  <c r="K103" i="6"/>
  <c r="L103" i="6" s="1"/>
  <c r="K105" i="6"/>
  <c r="L105" i="6" s="1"/>
  <c r="K58" i="6"/>
  <c r="L58" i="6" s="1"/>
  <c r="K63" i="6"/>
  <c r="L63" i="6" s="1"/>
  <c r="K56" i="6"/>
  <c r="L56" i="6" s="1"/>
  <c r="K37" i="6"/>
  <c r="L37" i="6" s="1"/>
  <c r="K18" i="6"/>
  <c r="L18" i="6" s="1"/>
  <c r="K17" i="6"/>
  <c r="L17" i="6" s="1"/>
  <c r="K107" i="6"/>
  <c r="L107" i="6" s="1"/>
  <c r="K90" i="6"/>
  <c r="L90" i="6" s="1"/>
  <c r="K38" i="6"/>
  <c r="L38" i="6" s="1"/>
  <c r="K12" i="6"/>
  <c r="L12" i="6" s="1"/>
  <c r="K14" i="6"/>
  <c r="L14" i="6" s="1"/>
  <c r="K19" i="6"/>
  <c r="L19" i="6" s="1"/>
  <c r="K134" i="6"/>
  <c r="L134" i="6" s="1"/>
  <c r="K75" i="6"/>
  <c r="L75" i="6" s="1"/>
  <c r="K68" i="6"/>
  <c r="L68" i="6" s="1"/>
  <c r="K30" i="6"/>
  <c r="L30" i="6" s="1"/>
  <c r="K29" i="6"/>
  <c r="L29" i="6" s="1"/>
  <c r="K119" i="6"/>
  <c r="L119" i="6" s="1"/>
  <c r="K117" i="6"/>
  <c r="L117" i="6" s="1"/>
  <c r="K91" i="6"/>
  <c r="L91" i="6" s="1"/>
  <c r="K121" i="6"/>
  <c r="L121" i="6" s="1"/>
  <c r="K88" i="6"/>
  <c r="L88" i="6" s="1"/>
  <c r="K49" i="6"/>
  <c r="L49" i="6" s="1"/>
  <c r="K50" i="6"/>
  <c r="L50" i="6" s="1"/>
  <c r="K45" i="6"/>
  <c r="L45" i="6" s="1"/>
  <c r="K64" i="6"/>
  <c r="L64" i="6" s="1"/>
  <c r="K72" i="6"/>
  <c r="L72" i="6" s="1"/>
  <c r="K82" i="6"/>
  <c r="L82" i="6" s="1"/>
  <c r="K87" i="6"/>
  <c r="L87" i="6" s="1"/>
  <c r="K80" i="6"/>
  <c r="L80" i="6" s="1"/>
  <c r="K61" i="6"/>
  <c r="L61" i="6" s="1"/>
  <c r="K42" i="6"/>
  <c r="L42" i="6" s="1"/>
  <c r="K89" i="6"/>
  <c r="L89" i="6" s="1"/>
  <c r="K131" i="6"/>
  <c r="L131" i="6" s="1"/>
  <c r="K88" i="5"/>
  <c r="L88" i="5" s="1"/>
  <c r="K67" i="5"/>
  <c r="L67" i="5" s="1"/>
  <c r="K117" i="5"/>
  <c r="L117" i="5" s="1"/>
  <c r="K35" i="5"/>
  <c r="L35" i="5" s="1"/>
  <c r="K40" i="5"/>
  <c r="L40" i="5" s="1"/>
  <c r="K21" i="5"/>
  <c r="L21" i="5" s="1"/>
  <c r="K89" i="5"/>
  <c r="L89" i="5" s="1"/>
  <c r="K70" i="5"/>
  <c r="L70" i="5" s="1"/>
  <c r="K31" i="5"/>
  <c r="L31" i="5" s="1"/>
  <c r="K92" i="5"/>
  <c r="L92" i="5" s="1"/>
  <c r="K109" i="5"/>
  <c r="L109" i="5" s="1"/>
  <c r="K102" i="5"/>
  <c r="L102" i="5" s="1"/>
  <c r="K47" i="5"/>
  <c r="L47" i="5" s="1"/>
  <c r="K58" i="5"/>
  <c r="L58" i="5" s="1"/>
  <c r="K129" i="5"/>
  <c r="L129" i="5" s="1"/>
  <c r="K101" i="5"/>
  <c r="L101" i="5" s="1"/>
  <c r="K82" i="5"/>
  <c r="L82" i="5" s="1"/>
  <c r="K15" i="5"/>
  <c r="L15" i="5" s="1"/>
  <c r="K43" i="5"/>
  <c r="L43" i="5" s="1"/>
  <c r="K121" i="5"/>
  <c r="L121" i="5" s="1"/>
  <c r="K114" i="5"/>
  <c r="L114" i="5" s="1"/>
  <c r="K59" i="5"/>
  <c r="L59" i="5" s="1"/>
  <c r="K78" i="5"/>
  <c r="L78" i="5" s="1"/>
  <c r="K93" i="5"/>
  <c r="L93" i="5" s="1"/>
  <c r="K16" i="5"/>
  <c r="L16" i="5" s="1"/>
  <c r="K105" i="5"/>
  <c r="L105" i="5" s="1"/>
  <c r="K113" i="5"/>
  <c r="L113" i="5" s="1"/>
  <c r="K94" i="5"/>
  <c r="L94" i="5" s="1"/>
  <c r="K27" i="5"/>
  <c r="L27" i="5" s="1"/>
  <c r="K12" i="5"/>
  <c r="L12" i="5" s="1"/>
  <c r="K133" i="5"/>
  <c r="L133" i="5" s="1"/>
  <c r="K126" i="5"/>
  <c r="L126" i="5" s="1"/>
  <c r="K66" i="5"/>
  <c r="L66" i="5" s="1"/>
  <c r="K46" i="5"/>
  <c r="L46" i="5" s="1"/>
  <c r="K97" i="5"/>
  <c r="L97" i="5" s="1"/>
  <c r="K50" i="5"/>
  <c r="L50" i="5" s="1"/>
  <c r="K125" i="5"/>
  <c r="L125" i="5" s="1"/>
  <c r="K106" i="5"/>
  <c r="L106" i="5" s="1"/>
  <c r="K39" i="5"/>
  <c r="L39" i="5" s="1"/>
  <c r="K36" i="5"/>
  <c r="L36" i="5" s="1"/>
  <c r="K128" i="5"/>
  <c r="L128" i="5" s="1"/>
  <c r="K86" i="5"/>
  <c r="L86" i="5" s="1"/>
  <c r="K83" i="5"/>
  <c r="L83" i="5" s="1"/>
  <c r="K112" i="5"/>
  <c r="L112" i="5" s="1"/>
  <c r="K19" i="5"/>
  <c r="L19" i="5" s="1"/>
  <c r="K118" i="5"/>
  <c r="L118" i="5" s="1"/>
  <c r="K51" i="5"/>
  <c r="L51" i="5" s="1"/>
  <c r="K84" i="5"/>
  <c r="L84" i="5" s="1"/>
  <c r="K110" i="5"/>
  <c r="L110" i="5" s="1"/>
  <c r="K108" i="5"/>
  <c r="L108" i="5" s="1"/>
  <c r="K98" i="5"/>
  <c r="L98" i="5" s="1"/>
  <c r="K95" i="5"/>
  <c r="L95" i="5" s="1"/>
  <c r="K34" i="5"/>
  <c r="L34" i="5" s="1"/>
  <c r="K100" i="5"/>
  <c r="L100" i="5" s="1"/>
  <c r="K85" i="5"/>
  <c r="L85" i="5" s="1"/>
  <c r="K120" i="5"/>
  <c r="L120" i="5" s="1"/>
  <c r="K63" i="5"/>
  <c r="L63" i="5" s="1"/>
  <c r="K18" i="5"/>
  <c r="L18" i="5" s="1"/>
  <c r="K115" i="5"/>
  <c r="L115" i="5" s="1"/>
  <c r="K107" i="5"/>
  <c r="L107" i="5" s="1"/>
  <c r="K135" i="5"/>
  <c r="L135" i="5" s="1"/>
  <c r="K96" i="5"/>
  <c r="L96" i="5" s="1"/>
  <c r="K38" i="5"/>
  <c r="L38" i="5" s="1"/>
  <c r="K55" i="5"/>
  <c r="L55" i="5" s="1"/>
  <c r="K132" i="5"/>
  <c r="L132" i="5" s="1"/>
  <c r="K69" i="5"/>
  <c r="L69" i="5" s="1"/>
  <c r="K57" i="5"/>
  <c r="L57" i="5" s="1"/>
  <c r="K17" i="5"/>
  <c r="L17" i="5" s="1"/>
  <c r="K91" i="5"/>
  <c r="L91" i="5" s="1"/>
  <c r="K74" i="5"/>
  <c r="L74" i="5" s="1"/>
  <c r="K75" i="5"/>
  <c r="L75" i="5" s="1"/>
  <c r="K20" i="5"/>
  <c r="L20" i="5" s="1"/>
  <c r="K37" i="5"/>
  <c r="L37" i="5" s="1"/>
  <c r="K30" i="5"/>
  <c r="L30" i="5" s="1"/>
  <c r="K127" i="5"/>
  <c r="L127" i="5" s="1"/>
  <c r="K119" i="5"/>
  <c r="L119" i="5" s="1"/>
  <c r="K76" i="5"/>
  <c r="L76" i="5" s="1"/>
  <c r="K73" i="5"/>
  <c r="L73" i="5" s="1"/>
  <c r="K90" i="5"/>
  <c r="L90" i="5" s="1"/>
  <c r="K26" i="5"/>
  <c r="L26" i="5" s="1"/>
  <c r="K81" i="5"/>
  <c r="L81" i="5" s="1"/>
  <c r="K130" i="5"/>
  <c r="L130" i="5" s="1"/>
  <c r="K103" i="5"/>
  <c r="L103" i="5" s="1"/>
  <c r="K124" i="5"/>
  <c r="L124" i="5" s="1"/>
  <c r="K33" i="5"/>
  <c r="L33" i="5" s="1"/>
  <c r="K29" i="5"/>
  <c r="L29" i="5" s="1"/>
  <c r="K10" i="5"/>
  <c r="L10" i="5" s="1"/>
  <c r="K122" i="5"/>
  <c r="L122" i="5" s="1"/>
  <c r="K87" i="5"/>
  <c r="L87" i="5" s="1"/>
  <c r="K32" i="5"/>
  <c r="L32" i="5" s="1"/>
  <c r="K49" i="5"/>
  <c r="L49" i="5" s="1"/>
  <c r="K42" i="5"/>
  <c r="L42" i="5" s="1"/>
  <c r="K13" i="5"/>
  <c r="L13" i="5" s="1"/>
  <c r="K131" i="5"/>
  <c r="L131" i="5" s="1"/>
  <c r="L3" i="4"/>
  <c r="L4" i="4"/>
  <c r="L2" i="4"/>
  <c r="L3" i="8" l="1"/>
  <c r="L2" i="8"/>
  <c r="L4" i="8"/>
  <c r="L3" i="7"/>
  <c r="L2" i="7"/>
  <c r="L4" i="7"/>
  <c r="L3" i="6"/>
  <c r="L4" i="6"/>
  <c r="L2" i="6"/>
  <c r="L2" i="5"/>
  <c r="L3" i="5"/>
  <c r="L4" i="5"/>
</calcChain>
</file>

<file path=xl/sharedStrings.xml><?xml version="1.0" encoding="utf-8"?>
<sst xmlns="http://schemas.openxmlformats.org/spreadsheetml/2006/main" count="332" uniqueCount="38">
  <si>
    <t xml:space="preserve">KABUPATEN </t>
  </si>
  <si>
    <t>KECAMATAN</t>
  </si>
  <si>
    <t>DESA</t>
  </si>
  <si>
    <t>jeniskelamin</t>
  </si>
  <si>
    <t>KELAS</t>
  </si>
  <si>
    <t>zona 1</t>
  </si>
  <si>
    <t>zona 2</t>
  </si>
  <si>
    <t>zona 3</t>
  </si>
  <si>
    <t>class</t>
  </si>
  <si>
    <t>cluster</t>
  </si>
  <si>
    <t>NO</t>
  </si>
  <si>
    <t>KESIMPULAN ITERSI 1</t>
  </si>
  <si>
    <t>CLASTER</t>
  </si>
  <si>
    <t>ANGGOTA</t>
  </si>
  <si>
    <t>DATA SET</t>
  </si>
  <si>
    <t>JARAK CETEROID</t>
  </si>
  <si>
    <t>TERDEKAT</t>
  </si>
  <si>
    <t>CLASTER YANG DI IKUTI</t>
  </si>
  <si>
    <t>claster Pada dataset</t>
  </si>
  <si>
    <t>hasil pencocokan</t>
  </si>
  <si>
    <t>akurasi</t>
  </si>
  <si>
    <t>R12</t>
  </si>
  <si>
    <t>R13</t>
  </si>
  <si>
    <t>R23</t>
  </si>
  <si>
    <t>D1</t>
  </si>
  <si>
    <t>D2</t>
  </si>
  <si>
    <t>D3</t>
  </si>
  <si>
    <t>DBI</t>
  </si>
  <si>
    <t>Cluster</t>
  </si>
  <si>
    <t>Nilai</t>
  </si>
  <si>
    <t>Si</t>
  </si>
  <si>
    <t>Mij</t>
  </si>
  <si>
    <t>M12</t>
  </si>
  <si>
    <t>M13</t>
  </si>
  <si>
    <t>M23</t>
  </si>
  <si>
    <t>Rij</t>
  </si>
  <si>
    <t>Di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</si>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</sst>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10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charset val="1"/>
      <scheme val="minor"/>
    </font>
    <font>
      <b/>
      <sz val="11"/>
      <name val="Calibri"/>
      <family val="2"/>
      <charset val="1"/>
    </font>
    <font>
      <b/>
      <sz val="11"/>
      <color rgb="FF000000"/>
      <name val="Aptos Narrow"/>
      <family val="2"/>
      <charset val="1"/>
      <scheme val="minor"/>
    </font>
    <font>
      <sz val="14"/>
      <color theme="1"/>
      <name val="-webkit-standard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1" applyFon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workbookViewId="0">
      <selection activeCell="M25" sqref="M25"/>
    </sheetView>
  </sheetViews>
  <sheetFormatPr baseColWidth="10" defaultColWidth="8.83203125" defaultRowHeight="15"/>
  <cols>
    <col min="2" max="2" width="8.83203125" style="1"/>
    <col min="3" max="3" width="11.1640625" style="1" bestFit="1" customWidth="1"/>
    <col min="4" max="7" width="8.83203125" style="1"/>
  </cols>
  <sheetData>
    <row r="1" spans="1:7">
      <c r="A1" s="4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</row>
    <row r="2" spans="1:7">
      <c r="A2" s="4">
        <v>1</v>
      </c>
      <c r="B2" s="3">
        <v>0</v>
      </c>
      <c r="C2" s="3">
        <v>-0.47745388889066914</v>
      </c>
      <c r="D2" s="3">
        <v>-0.6739770448137985</v>
      </c>
      <c r="E2" s="3">
        <v>-1.0446386175466813</v>
      </c>
      <c r="F2" s="3">
        <v>1</v>
      </c>
      <c r="G2" s="4" t="s">
        <v>5</v>
      </c>
    </row>
    <row r="3" spans="1:7">
      <c r="A3" s="4">
        <v>2</v>
      </c>
      <c r="B3" s="3">
        <v>0</v>
      </c>
      <c r="C3" s="3">
        <v>-0.10379432367188457</v>
      </c>
      <c r="D3" s="3">
        <v>-0.51583717955022568</v>
      </c>
      <c r="E3" s="3">
        <v>0.94967147049698286</v>
      </c>
      <c r="F3" s="3">
        <v>1</v>
      </c>
      <c r="G3" s="4" t="s">
        <v>6</v>
      </c>
    </row>
    <row r="4" spans="1:7">
      <c r="A4" s="4">
        <v>3</v>
      </c>
      <c r="B4" s="3">
        <v>0</v>
      </c>
      <c r="C4" s="3">
        <v>-0.47745388889066914</v>
      </c>
      <c r="D4" s="3">
        <v>-0.6739770448137985</v>
      </c>
      <c r="E4" s="3">
        <v>0.94967147049698286</v>
      </c>
      <c r="F4" s="3">
        <v>1</v>
      </c>
      <c r="G4" s="4" t="s">
        <v>5</v>
      </c>
    </row>
    <row r="5" spans="1:7">
      <c r="A5" s="4">
        <v>4</v>
      </c>
      <c r="B5" s="3">
        <v>0</v>
      </c>
      <c r="C5" s="3">
        <v>-0.10379432367188457</v>
      </c>
      <c r="D5" s="3">
        <v>-0.51583717955022568</v>
      </c>
      <c r="E5" s="3">
        <v>0.94967147049698286</v>
      </c>
      <c r="F5" s="3">
        <v>1</v>
      </c>
      <c r="G5" s="4" t="s">
        <v>6</v>
      </c>
    </row>
    <row r="6" spans="1:7">
      <c r="A6" s="4">
        <v>5</v>
      </c>
      <c r="B6" s="3">
        <v>0</v>
      </c>
      <c r="C6" s="3">
        <v>-0.47745388889066914</v>
      </c>
      <c r="D6" s="3">
        <v>-0.6739770448137985</v>
      </c>
      <c r="E6" s="3">
        <v>0.94967147049698286</v>
      </c>
      <c r="F6" s="3">
        <v>1</v>
      </c>
      <c r="G6" s="4" t="s">
        <v>5</v>
      </c>
    </row>
    <row r="7" spans="1:7">
      <c r="A7" s="4">
        <v>6</v>
      </c>
      <c r="B7" s="3">
        <v>0</v>
      </c>
      <c r="C7" s="3">
        <v>-0.10379432367188457</v>
      </c>
      <c r="D7" s="3">
        <v>-0.35769731428665286</v>
      </c>
      <c r="E7" s="3">
        <v>-1.0446386175466813</v>
      </c>
      <c r="F7" s="3">
        <v>1</v>
      </c>
      <c r="G7" s="4" t="s">
        <v>6</v>
      </c>
    </row>
    <row r="8" spans="1:7">
      <c r="A8" s="4">
        <v>7</v>
      </c>
      <c r="B8" s="3">
        <v>0</v>
      </c>
      <c r="C8" s="3">
        <v>-0.10379432367188457</v>
      </c>
      <c r="D8" s="3">
        <v>-0.35769731428665286</v>
      </c>
      <c r="E8" s="3">
        <v>-1.0446386175466813</v>
      </c>
      <c r="F8" s="3">
        <v>1</v>
      </c>
      <c r="G8" s="4" t="s">
        <v>6</v>
      </c>
    </row>
    <row r="9" spans="1:7">
      <c r="A9" s="4">
        <v>8</v>
      </c>
      <c r="B9" s="3">
        <v>0</v>
      </c>
      <c r="C9" s="3">
        <v>-0.47745388889066914</v>
      </c>
      <c r="D9" s="3">
        <v>-0.6739770448137985</v>
      </c>
      <c r="E9" s="3">
        <v>0.94967147049698286</v>
      </c>
      <c r="F9" s="3">
        <v>1</v>
      </c>
      <c r="G9" s="4" t="s">
        <v>5</v>
      </c>
    </row>
    <row r="10" spans="1:7">
      <c r="A10" s="4">
        <v>9</v>
      </c>
      <c r="B10" s="3">
        <v>0</v>
      </c>
      <c r="C10" s="3">
        <v>-0.47745388889066914</v>
      </c>
      <c r="D10" s="3">
        <v>-0.6739770448137985</v>
      </c>
      <c r="E10" s="3">
        <v>0.94967147049698286</v>
      </c>
      <c r="F10" s="3">
        <v>1</v>
      </c>
      <c r="G10" s="4" t="s">
        <v>5</v>
      </c>
    </row>
    <row r="11" spans="1:7">
      <c r="A11" s="4">
        <v>10</v>
      </c>
      <c r="B11" s="3">
        <v>0</v>
      </c>
      <c r="C11" s="3">
        <v>-0.10379432367188457</v>
      </c>
      <c r="D11" s="3">
        <v>-0.51583717955022568</v>
      </c>
      <c r="E11" s="3">
        <v>-1.0446386175466813</v>
      </c>
      <c r="F11" s="3">
        <v>1</v>
      </c>
      <c r="G11" s="4" t="s">
        <v>6</v>
      </c>
    </row>
    <row r="12" spans="1:7">
      <c r="A12" s="4">
        <v>11</v>
      </c>
      <c r="B12" s="3">
        <v>0</v>
      </c>
      <c r="C12" s="3">
        <v>-0.10379432367188457</v>
      </c>
      <c r="D12" s="3">
        <v>-0.19955744902308001</v>
      </c>
      <c r="E12" s="3">
        <v>-1.0446386175466813</v>
      </c>
      <c r="F12" s="3">
        <v>1</v>
      </c>
      <c r="G12" s="4" t="s">
        <v>6</v>
      </c>
    </row>
    <row r="13" spans="1:7">
      <c r="A13" s="4">
        <v>12</v>
      </c>
      <c r="B13" s="3">
        <v>0</v>
      </c>
      <c r="C13" s="3">
        <v>-0.10379432367188457</v>
      </c>
      <c r="D13" s="3">
        <v>-0.51583717955022568</v>
      </c>
      <c r="E13" s="3">
        <v>-1.0446386175466813</v>
      </c>
      <c r="F13" s="3">
        <v>1</v>
      </c>
      <c r="G13" s="4" t="s">
        <v>6</v>
      </c>
    </row>
    <row r="14" spans="1:7">
      <c r="A14" s="4">
        <v>13</v>
      </c>
      <c r="B14" s="3">
        <v>0</v>
      </c>
      <c r="C14" s="3">
        <v>0.2698652415469</v>
      </c>
      <c r="D14" s="3">
        <v>-4.1417583759507166E-2</v>
      </c>
      <c r="E14" s="3">
        <v>0.94967147049698286</v>
      </c>
      <c r="F14" s="3">
        <v>1</v>
      </c>
      <c r="G14" s="4" t="s">
        <v>7</v>
      </c>
    </row>
    <row r="15" spans="1:7">
      <c r="A15" s="4">
        <v>14</v>
      </c>
      <c r="B15" s="3">
        <v>0</v>
      </c>
      <c r="C15" s="3">
        <v>-0.10379432367188457</v>
      </c>
      <c r="D15" s="3">
        <v>0.11672228150406568</v>
      </c>
      <c r="E15" s="3">
        <v>-1.0446386175466813</v>
      </c>
      <c r="F15" s="3">
        <v>1</v>
      </c>
      <c r="G15" s="4" t="s">
        <v>6</v>
      </c>
    </row>
    <row r="16" spans="1:7">
      <c r="A16" s="4">
        <v>15</v>
      </c>
      <c r="B16" s="3">
        <v>0</v>
      </c>
      <c r="C16" s="3">
        <v>-0.47745388889066914</v>
      </c>
      <c r="D16" s="3">
        <v>-0.6739770448137985</v>
      </c>
      <c r="E16" s="3">
        <v>-1.0446386175466813</v>
      </c>
      <c r="F16" s="3">
        <v>1</v>
      </c>
      <c r="G16" s="4" t="s">
        <v>5</v>
      </c>
    </row>
    <row r="17" spans="1:7">
      <c r="A17" s="4">
        <v>16</v>
      </c>
      <c r="B17" s="3">
        <v>0</v>
      </c>
      <c r="C17" s="3">
        <v>-0.10379432367188457</v>
      </c>
      <c r="D17" s="3">
        <v>-0.51583717955022568</v>
      </c>
      <c r="E17" s="3">
        <v>0.94967147049698286</v>
      </c>
      <c r="F17" s="3">
        <v>1</v>
      </c>
      <c r="G17" s="4" t="s">
        <v>6</v>
      </c>
    </row>
    <row r="18" spans="1:7">
      <c r="A18" s="4">
        <v>17</v>
      </c>
      <c r="B18" s="3">
        <v>0</v>
      </c>
      <c r="C18" s="3">
        <v>-0.47745388889066914</v>
      </c>
      <c r="D18" s="3">
        <v>-0.6739770448137985</v>
      </c>
      <c r="E18" s="3">
        <v>0.94967147049698286</v>
      </c>
      <c r="F18" s="3">
        <v>1</v>
      </c>
      <c r="G18" s="4" t="s">
        <v>5</v>
      </c>
    </row>
    <row r="19" spans="1:7">
      <c r="A19" s="4">
        <v>18</v>
      </c>
      <c r="B19" s="3">
        <v>0</v>
      </c>
      <c r="C19" s="3">
        <v>-0.47745388889066914</v>
      </c>
      <c r="D19" s="3">
        <v>-0.6739770448137985</v>
      </c>
      <c r="E19" s="3">
        <v>-1.0446386175466813</v>
      </c>
      <c r="F19" s="3">
        <v>1</v>
      </c>
      <c r="G19" s="4" t="s">
        <v>5</v>
      </c>
    </row>
    <row r="20" spans="1:7">
      <c r="A20" s="4">
        <v>19</v>
      </c>
      <c r="B20" s="3">
        <v>0</v>
      </c>
      <c r="C20" s="3">
        <v>-0.47745388889066914</v>
      </c>
      <c r="D20" s="3">
        <v>-0.6739770448137985</v>
      </c>
      <c r="E20" s="3">
        <v>-1.0446386175466813</v>
      </c>
      <c r="F20" s="3">
        <v>1</v>
      </c>
      <c r="G20" s="4" t="s">
        <v>5</v>
      </c>
    </row>
    <row r="21" spans="1:7">
      <c r="A21" s="4">
        <v>20</v>
      </c>
      <c r="B21" s="3">
        <v>0</v>
      </c>
      <c r="C21" s="3">
        <v>-0.47745388889066914</v>
      </c>
      <c r="D21" s="3">
        <v>-0.6739770448137985</v>
      </c>
      <c r="E21" s="3">
        <v>0.94967147049698286</v>
      </c>
      <c r="F21" s="3">
        <v>1</v>
      </c>
      <c r="G21" s="4" t="s">
        <v>5</v>
      </c>
    </row>
    <row r="22" spans="1:7">
      <c r="A22" s="4">
        <v>21</v>
      </c>
      <c r="B22" s="3">
        <v>0</v>
      </c>
      <c r="C22" s="3">
        <v>0.64352480676568458</v>
      </c>
      <c r="D22" s="3">
        <v>0.27486214676763854</v>
      </c>
      <c r="E22" s="3">
        <v>-1.0446386175466813</v>
      </c>
      <c r="F22" s="3">
        <v>1</v>
      </c>
      <c r="G22" s="4" t="s">
        <v>7</v>
      </c>
    </row>
    <row r="23" spans="1:7">
      <c r="A23" s="4">
        <v>22</v>
      </c>
      <c r="B23" s="3">
        <v>0</v>
      </c>
      <c r="C23" s="3">
        <v>-0.47745388889066914</v>
      </c>
      <c r="D23" s="3">
        <v>-0.6739770448137985</v>
      </c>
      <c r="E23" s="3">
        <v>0.94967147049698286</v>
      </c>
      <c r="F23" s="3">
        <v>1</v>
      </c>
      <c r="G23" s="4" t="s">
        <v>5</v>
      </c>
    </row>
    <row r="24" spans="1:7">
      <c r="A24" s="4">
        <v>23</v>
      </c>
      <c r="B24" s="3">
        <v>0</v>
      </c>
      <c r="C24" s="3">
        <v>-0.47745388889066914</v>
      </c>
      <c r="D24" s="3">
        <v>-0.6739770448137985</v>
      </c>
      <c r="E24" s="3">
        <v>0.94967147049698286</v>
      </c>
      <c r="F24" s="3">
        <v>1</v>
      </c>
      <c r="G24" s="4" t="s">
        <v>5</v>
      </c>
    </row>
    <row r="25" spans="1:7">
      <c r="A25" s="4">
        <v>24</v>
      </c>
      <c r="B25" s="3">
        <v>0</v>
      </c>
      <c r="C25" s="3">
        <v>-0.10379432367188457</v>
      </c>
      <c r="D25" s="3">
        <v>-0.51583717955022568</v>
      </c>
      <c r="E25" s="3">
        <v>-1.0446386175466813</v>
      </c>
      <c r="F25" s="3">
        <v>1</v>
      </c>
      <c r="G25" s="4" t="s">
        <v>6</v>
      </c>
    </row>
    <row r="26" spans="1:7">
      <c r="A26" s="4">
        <v>25</v>
      </c>
      <c r="B26" s="3">
        <v>0</v>
      </c>
      <c r="C26" s="3">
        <v>-0.47745388889066914</v>
      </c>
      <c r="D26" s="3">
        <v>0.43300201203121136</v>
      </c>
      <c r="E26" s="3">
        <v>0.94967147049698286</v>
      </c>
      <c r="F26" s="3">
        <v>1</v>
      </c>
      <c r="G26" s="4" t="s">
        <v>5</v>
      </c>
    </row>
    <row r="27" spans="1:7">
      <c r="A27" s="4">
        <v>26</v>
      </c>
      <c r="B27" s="3">
        <v>0</v>
      </c>
      <c r="C27" s="3">
        <v>-0.47745388889066914</v>
      </c>
      <c r="D27" s="3">
        <v>0.43300201203121136</v>
      </c>
      <c r="E27" s="3">
        <v>0.94967147049698286</v>
      </c>
      <c r="F27" s="3">
        <v>2</v>
      </c>
      <c r="G27" s="4" t="s">
        <v>5</v>
      </c>
    </row>
    <row r="28" spans="1:7">
      <c r="A28" s="4">
        <v>27</v>
      </c>
      <c r="B28" s="3">
        <v>0</v>
      </c>
      <c r="C28" s="3">
        <v>-0.10379432367188457</v>
      </c>
      <c r="D28" s="3">
        <v>0.59114187729478418</v>
      </c>
      <c r="E28" s="3">
        <v>0.94967147049698286</v>
      </c>
      <c r="F28" s="3">
        <v>2</v>
      </c>
      <c r="G28" s="4" t="s">
        <v>6</v>
      </c>
    </row>
    <row r="29" spans="1:7">
      <c r="A29" s="4">
        <v>28</v>
      </c>
      <c r="B29" s="3">
        <v>0</v>
      </c>
      <c r="C29" s="3">
        <v>-0.47745388889066914</v>
      </c>
      <c r="D29" s="3">
        <v>-0.6739770448137985</v>
      </c>
      <c r="E29" s="3">
        <v>-1.0446386175466813</v>
      </c>
      <c r="F29" s="3">
        <v>2</v>
      </c>
      <c r="G29" s="4" t="s">
        <v>5</v>
      </c>
    </row>
    <row r="30" spans="1:7">
      <c r="A30" s="4">
        <v>29</v>
      </c>
      <c r="B30" s="3">
        <v>0</v>
      </c>
      <c r="C30" s="3">
        <v>-0.47745388889066914</v>
      </c>
      <c r="D30" s="3">
        <v>0.43300201203121136</v>
      </c>
      <c r="E30" s="3">
        <v>0.94967147049698286</v>
      </c>
      <c r="F30" s="3">
        <v>2</v>
      </c>
      <c r="G30" s="4" t="s">
        <v>5</v>
      </c>
    </row>
    <row r="31" spans="1:7">
      <c r="A31" s="4">
        <v>30</v>
      </c>
      <c r="B31" s="3">
        <v>0</v>
      </c>
      <c r="C31" s="3">
        <v>-0.10379432367188457</v>
      </c>
      <c r="D31" s="3">
        <v>0.11672228150406568</v>
      </c>
      <c r="E31" s="3">
        <v>-1.0446386175466813</v>
      </c>
      <c r="F31" s="3">
        <v>2</v>
      </c>
      <c r="G31" s="4" t="s">
        <v>6</v>
      </c>
    </row>
    <row r="32" spans="1:7">
      <c r="A32" s="4">
        <v>31</v>
      </c>
      <c r="B32" s="3">
        <v>0</v>
      </c>
      <c r="C32" s="3">
        <v>-0.10379432367188457</v>
      </c>
      <c r="D32" s="3">
        <v>-0.35769731428665286</v>
      </c>
      <c r="E32" s="3">
        <v>0.94967147049698286</v>
      </c>
      <c r="F32" s="3">
        <v>2</v>
      </c>
      <c r="G32" s="4" t="s">
        <v>6</v>
      </c>
    </row>
    <row r="33" spans="1:7">
      <c r="A33" s="4">
        <v>32</v>
      </c>
      <c r="B33" s="3">
        <v>0</v>
      </c>
      <c r="C33" s="3">
        <v>-0.47745388889066914</v>
      </c>
      <c r="D33" s="3">
        <v>0.43300201203121136</v>
      </c>
      <c r="E33" s="3">
        <v>0.94967147049698286</v>
      </c>
      <c r="F33" s="3">
        <v>2</v>
      </c>
      <c r="G33" s="4" t="s">
        <v>5</v>
      </c>
    </row>
    <row r="34" spans="1:7">
      <c r="A34" s="4">
        <v>33</v>
      </c>
      <c r="B34" s="3">
        <v>0</v>
      </c>
      <c r="C34" s="3">
        <v>-0.47745388889066914</v>
      </c>
      <c r="D34" s="3">
        <v>0.43300201203121136</v>
      </c>
      <c r="E34" s="3">
        <v>0.94967147049698286</v>
      </c>
      <c r="F34" s="3">
        <v>2</v>
      </c>
      <c r="G34" s="4" t="s">
        <v>5</v>
      </c>
    </row>
    <row r="35" spans="1:7">
      <c r="A35" s="4">
        <v>34</v>
      </c>
      <c r="B35" s="3">
        <v>0</v>
      </c>
      <c r="C35" s="3">
        <v>-0.10379432367188457</v>
      </c>
      <c r="D35" s="3">
        <v>-0.51583717955022568</v>
      </c>
      <c r="E35" s="3">
        <v>0.94967147049698286</v>
      </c>
      <c r="F35" s="3">
        <v>2</v>
      </c>
      <c r="G35" s="4" t="s">
        <v>6</v>
      </c>
    </row>
    <row r="36" spans="1:7">
      <c r="A36" s="4">
        <v>35</v>
      </c>
      <c r="B36" s="3">
        <v>0</v>
      </c>
      <c r="C36" s="3">
        <v>-0.47745388889066914</v>
      </c>
      <c r="D36" s="3">
        <v>-0.6739770448137985</v>
      </c>
      <c r="E36" s="3">
        <v>0.94967147049698286</v>
      </c>
      <c r="F36" s="3">
        <v>2</v>
      </c>
      <c r="G36" s="4" t="s">
        <v>5</v>
      </c>
    </row>
    <row r="37" spans="1:7">
      <c r="A37" s="4">
        <v>36</v>
      </c>
      <c r="B37" s="3">
        <v>0</v>
      </c>
      <c r="C37" s="3">
        <v>-0.10379432367188457</v>
      </c>
      <c r="D37" s="3">
        <v>0.11672228150406568</v>
      </c>
      <c r="E37" s="3">
        <v>0.94967147049698286</v>
      </c>
      <c r="F37" s="3">
        <v>2</v>
      </c>
      <c r="G37" s="4" t="s">
        <v>6</v>
      </c>
    </row>
    <row r="38" spans="1:7">
      <c r="A38" s="4">
        <v>37</v>
      </c>
      <c r="B38" s="3">
        <v>0</v>
      </c>
      <c r="C38" s="3">
        <v>-0.10379432367188457</v>
      </c>
      <c r="D38" s="3">
        <v>-0.51583717955022568</v>
      </c>
      <c r="E38" s="3">
        <v>-1.0446386175466813</v>
      </c>
      <c r="F38" s="3">
        <v>2</v>
      </c>
      <c r="G38" s="4" t="s">
        <v>6</v>
      </c>
    </row>
    <row r="39" spans="1:7">
      <c r="A39" s="4">
        <v>38</v>
      </c>
      <c r="B39" s="3">
        <v>0</v>
      </c>
      <c r="C39" s="3">
        <v>-0.10379432367188457</v>
      </c>
      <c r="D39" s="3">
        <v>0.749281742558357</v>
      </c>
      <c r="E39" s="3">
        <v>-1.0446386175466813</v>
      </c>
      <c r="F39" s="3">
        <v>2</v>
      </c>
      <c r="G39" s="4" t="s">
        <v>6</v>
      </c>
    </row>
    <row r="40" spans="1:7">
      <c r="A40" s="4">
        <v>39</v>
      </c>
      <c r="B40" s="3">
        <v>0</v>
      </c>
      <c r="C40" s="3">
        <v>-0.10379432367188457</v>
      </c>
      <c r="D40" s="3">
        <v>0.11672228150406568</v>
      </c>
      <c r="E40" s="3">
        <v>-1.0446386175466813</v>
      </c>
      <c r="F40" s="3">
        <v>2</v>
      </c>
      <c r="G40" s="4" t="s">
        <v>6</v>
      </c>
    </row>
    <row r="41" spans="1:7">
      <c r="A41" s="4">
        <v>40</v>
      </c>
      <c r="B41" s="3">
        <v>0</v>
      </c>
      <c r="C41" s="3">
        <v>1.0171843719844693</v>
      </c>
      <c r="D41" s="3">
        <v>0.90742160782192982</v>
      </c>
      <c r="E41" s="3">
        <v>-1.0446386175466813</v>
      </c>
      <c r="F41" s="3">
        <v>2</v>
      </c>
      <c r="G41" s="4" t="s">
        <v>7</v>
      </c>
    </row>
    <row r="42" spans="1:7">
      <c r="A42" s="4">
        <v>41</v>
      </c>
      <c r="B42" s="3">
        <v>0</v>
      </c>
      <c r="C42" s="3">
        <v>-0.10379432367188457</v>
      </c>
      <c r="D42" s="3">
        <v>0.749281742558357</v>
      </c>
      <c r="E42" s="3">
        <v>-1.0446386175466813</v>
      </c>
      <c r="F42" s="3">
        <v>2</v>
      </c>
      <c r="G42" s="4" t="s">
        <v>6</v>
      </c>
    </row>
    <row r="43" spans="1:7">
      <c r="A43" s="4">
        <v>42</v>
      </c>
      <c r="B43" s="3">
        <v>0</v>
      </c>
      <c r="C43" s="3">
        <v>-0.10379432367188457</v>
      </c>
      <c r="D43" s="3">
        <v>-0.35769731428665286</v>
      </c>
      <c r="E43" s="3">
        <v>0.94967147049698286</v>
      </c>
      <c r="F43" s="3">
        <v>2</v>
      </c>
      <c r="G43" s="4" t="s">
        <v>6</v>
      </c>
    </row>
    <row r="44" spans="1:7">
      <c r="A44" s="4">
        <v>43</v>
      </c>
      <c r="B44" s="3">
        <v>0</v>
      </c>
      <c r="C44" s="3">
        <v>-0.47745388889066914</v>
      </c>
      <c r="D44" s="3">
        <v>-0.6739770448137985</v>
      </c>
      <c r="E44" s="3">
        <v>0.94967147049698286</v>
      </c>
      <c r="F44" s="3">
        <v>2</v>
      </c>
      <c r="G44" s="4" t="s">
        <v>5</v>
      </c>
    </row>
    <row r="45" spans="1:7">
      <c r="A45" s="4">
        <v>44</v>
      </c>
      <c r="B45" s="3">
        <v>0</v>
      </c>
      <c r="C45" s="3">
        <v>-0.10379432367188457</v>
      </c>
      <c r="D45" s="3">
        <v>0.749281742558357</v>
      </c>
      <c r="E45" s="3">
        <v>-1.0446386175466813</v>
      </c>
      <c r="F45" s="3">
        <v>2</v>
      </c>
      <c r="G45" s="4" t="s">
        <v>6</v>
      </c>
    </row>
    <row r="46" spans="1:7">
      <c r="A46" s="4">
        <v>45</v>
      </c>
      <c r="B46" s="3">
        <v>0</v>
      </c>
      <c r="C46" s="3">
        <v>-0.10379432367188457</v>
      </c>
      <c r="D46" s="3">
        <v>-0.51583717955022568</v>
      </c>
      <c r="E46" s="3">
        <v>0.94967147049698286</v>
      </c>
      <c r="F46" s="3">
        <v>3</v>
      </c>
      <c r="G46" s="4" t="s">
        <v>6</v>
      </c>
    </row>
    <row r="47" spans="1:7">
      <c r="A47" s="4">
        <v>46</v>
      </c>
      <c r="B47" s="3">
        <v>0</v>
      </c>
      <c r="C47" s="3">
        <v>-0.47745388889066914</v>
      </c>
      <c r="D47" s="3">
        <v>-0.6739770448137985</v>
      </c>
      <c r="E47" s="3">
        <v>-1.0446386175466813</v>
      </c>
      <c r="F47" s="3">
        <v>3</v>
      </c>
      <c r="G47" s="4" t="s">
        <v>5</v>
      </c>
    </row>
    <row r="48" spans="1:7">
      <c r="A48" s="4">
        <v>47</v>
      </c>
      <c r="B48" s="3">
        <v>0</v>
      </c>
      <c r="C48" s="3">
        <v>-0.47745388889066914</v>
      </c>
      <c r="D48" s="3">
        <v>-0.6739770448137985</v>
      </c>
      <c r="E48" s="3">
        <v>-1.0446386175466813</v>
      </c>
      <c r="F48" s="3">
        <v>3</v>
      </c>
      <c r="G48" s="4" t="s">
        <v>5</v>
      </c>
    </row>
    <row r="49" spans="1:7">
      <c r="A49" s="4">
        <v>48</v>
      </c>
      <c r="B49" s="3">
        <v>0</v>
      </c>
      <c r="C49" s="3">
        <v>-0.47745388889066914</v>
      </c>
      <c r="D49" s="3">
        <v>1.0655614730855028</v>
      </c>
      <c r="E49" s="3">
        <v>0.94967147049698286</v>
      </c>
      <c r="F49" s="3">
        <v>3</v>
      </c>
      <c r="G49" s="4" t="s">
        <v>5</v>
      </c>
    </row>
    <row r="50" spans="1:7">
      <c r="A50" s="4">
        <v>49</v>
      </c>
      <c r="B50" s="3">
        <v>0</v>
      </c>
      <c r="C50" s="3">
        <v>-0.10379432367188457</v>
      </c>
      <c r="D50" s="3">
        <v>-0.35769731428665286</v>
      </c>
      <c r="E50" s="3">
        <v>-1.0446386175466813</v>
      </c>
      <c r="F50" s="3">
        <v>3</v>
      </c>
      <c r="G50" s="4" t="s">
        <v>6</v>
      </c>
    </row>
    <row r="51" spans="1:7">
      <c r="A51" s="4">
        <v>50</v>
      </c>
      <c r="B51" s="3">
        <v>0</v>
      </c>
      <c r="C51" s="3">
        <v>-0.10379432367188457</v>
      </c>
      <c r="D51" s="3">
        <v>0.749281742558357</v>
      </c>
      <c r="E51" s="3">
        <v>-1.0446386175466813</v>
      </c>
      <c r="F51" s="3">
        <v>3</v>
      </c>
      <c r="G51" s="4" t="s">
        <v>6</v>
      </c>
    </row>
    <row r="52" spans="1:7">
      <c r="A52" s="4">
        <v>51</v>
      </c>
      <c r="B52" s="3">
        <v>0</v>
      </c>
      <c r="C52" s="3">
        <v>-0.47745388889066914</v>
      </c>
      <c r="D52" s="3">
        <v>1.2237013383490756</v>
      </c>
      <c r="E52" s="3">
        <v>0.94967147049698286</v>
      </c>
      <c r="F52" s="3">
        <v>3</v>
      </c>
      <c r="G52" s="4" t="s">
        <v>5</v>
      </c>
    </row>
    <row r="53" spans="1:7">
      <c r="A53" s="4">
        <v>52</v>
      </c>
      <c r="B53" s="3">
        <v>0</v>
      </c>
      <c r="C53" s="3">
        <v>-0.47745388889066914</v>
      </c>
      <c r="D53" s="3">
        <v>0.43300201203121136</v>
      </c>
      <c r="E53" s="3">
        <v>-1.0446386175466813</v>
      </c>
      <c r="F53" s="3">
        <v>3</v>
      </c>
      <c r="G53" s="4" t="s">
        <v>5</v>
      </c>
    </row>
    <row r="54" spans="1:7">
      <c r="A54" s="4">
        <v>53</v>
      </c>
      <c r="B54" s="3">
        <v>0</v>
      </c>
      <c r="C54" s="3">
        <v>-0.47745388889066914</v>
      </c>
      <c r="D54" s="3">
        <v>-0.6739770448137985</v>
      </c>
      <c r="E54" s="3">
        <v>0.94967147049698286</v>
      </c>
      <c r="F54" s="3">
        <v>3</v>
      </c>
      <c r="G54" s="4" t="s">
        <v>5</v>
      </c>
    </row>
    <row r="55" spans="1:7">
      <c r="A55" s="4">
        <v>54</v>
      </c>
      <c r="B55" s="3">
        <v>0</v>
      </c>
      <c r="C55" s="3">
        <v>-0.47745388889066914</v>
      </c>
      <c r="D55" s="3">
        <v>-0.6739770448137985</v>
      </c>
      <c r="E55" s="3">
        <v>0.94967147049698286</v>
      </c>
      <c r="F55" s="3">
        <v>3</v>
      </c>
      <c r="G55" s="4" t="s">
        <v>5</v>
      </c>
    </row>
    <row r="56" spans="1:7">
      <c r="A56" s="4">
        <v>55</v>
      </c>
      <c r="B56" s="3">
        <v>0</v>
      </c>
      <c r="C56" s="3">
        <v>-0.10379432367188457</v>
      </c>
      <c r="D56" s="3">
        <v>-0.19955744902308001</v>
      </c>
      <c r="E56" s="3">
        <v>0.94967147049698286</v>
      </c>
      <c r="F56" s="3">
        <v>3</v>
      </c>
      <c r="G56" s="4" t="s">
        <v>6</v>
      </c>
    </row>
    <row r="57" spans="1:7">
      <c r="A57" s="4">
        <v>56</v>
      </c>
      <c r="B57" s="3">
        <v>0</v>
      </c>
      <c r="C57" s="3">
        <v>-0.10379432367188457</v>
      </c>
      <c r="D57" s="3">
        <v>-0.19955744902308001</v>
      </c>
      <c r="E57" s="3">
        <v>0.94967147049698286</v>
      </c>
      <c r="F57" s="3">
        <v>3</v>
      </c>
      <c r="G57" s="4" t="s">
        <v>6</v>
      </c>
    </row>
    <row r="58" spans="1:7">
      <c r="A58" s="4">
        <v>57</v>
      </c>
      <c r="B58" s="3">
        <v>0</v>
      </c>
      <c r="C58" s="3">
        <v>-0.10379432367188457</v>
      </c>
      <c r="D58" s="3">
        <v>-0.35769731428665286</v>
      </c>
      <c r="E58" s="3">
        <v>0.94967147049698286</v>
      </c>
      <c r="F58" s="3">
        <v>3</v>
      </c>
      <c r="G58" s="4" t="s">
        <v>6</v>
      </c>
    </row>
    <row r="59" spans="1:7">
      <c r="A59" s="4">
        <v>58</v>
      </c>
      <c r="B59" s="3">
        <v>0</v>
      </c>
      <c r="C59" s="3">
        <v>-0.10379432367188457</v>
      </c>
      <c r="D59" s="3">
        <v>-0.19955744902308001</v>
      </c>
      <c r="E59" s="3">
        <v>-1.0446386175466813</v>
      </c>
      <c r="F59" s="3">
        <v>3</v>
      </c>
      <c r="G59" s="4" t="s">
        <v>6</v>
      </c>
    </row>
    <row r="60" spans="1:7">
      <c r="A60" s="4">
        <v>59</v>
      </c>
      <c r="B60" s="3">
        <v>0</v>
      </c>
      <c r="C60" s="3">
        <v>-0.10379432367188457</v>
      </c>
      <c r="D60" s="3">
        <v>-0.51583717955022568</v>
      </c>
      <c r="E60" s="3">
        <v>0.94967147049698286</v>
      </c>
      <c r="F60" s="3">
        <v>3</v>
      </c>
      <c r="G60" s="4" t="s">
        <v>6</v>
      </c>
    </row>
    <row r="61" spans="1:7">
      <c r="A61" s="4">
        <v>60</v>
      </c>
      <c r="B61" s="3">
        <v>0</v>
      </c>
      <c r="C61" s="3">
        <v>-0.10379432367188457</v>
      </c>
      <c r="D61" s="3">
        <v>-0.51583717955022568</v>
      </c>
      <c r="E61" s="3">
        <v>0.94967147049698286</v>
      </c>
      <c r="F61" s="3">
        <v>3</v>
      </c>
      <c r="G61" s="4" t="s">
        <v>6</v>
      </c>
    </row>
    <row r="62" spans="1:7">
      <c r="A62" s="4">
        <v>61</v>
      </c>
      <c r="B62" s="3">
        <v>0</v>
      </c>
      <c r="C62" s="3">
        <v>-0.47745388889066914</v>
      </c>
      <c r="D62" s="3">
        <v>-0.6739770448137985</v>
      </c>
      <c r="E62" s="3">
        <v>-1.0446386175466813</v>
      </c>
      <c r="F62" s="3">
        <v>3</v>
      </c>
      <c r="G62" s="4" t="s">
        <v>5</v>
      </c>
    </row>
    <row r="63" spans="1:7">
      <c r="A63" s="4">
        <v>62</v>
      </c>
      <c r="B63" s="3">
        <v>0</v>
      </c>
      <c r="C63" s="3">
        <v>-0.47745388889066914</v>
      </c>
      <c r="D63" s="3">
        <v>-0.6739770448137985</v>
      </c>
      <c r="E63" s="3">
        <v>0.94967147049698286</v>
      </c>
      <c r="F63" s="3">
        <v>3</v>
      </c>
      <c r="G63" s="4" t="s">
        <v>5</v>
      </c>
    </row>
    <row r="64" spans="1:7">
      <c r="A64" s="4">
        <v>63</v>
      </c>
      <c r="B64" s="3">
        <v>0</v>
      </c>
      <c r="C64" s="3">
        <v>-0.47745388889066914</v>
      </c>
      <c r="D64" s="3">
        <v>-0.6739770448137985</v>
      </c>
      <c r="E64" s="3">
        <v>0.94967147049698286</v>
      </c>
      <c r="F64" s="3">
        <v>3</v>
      </c>
      <c r="G64" s="4" t="s">
        <v>5</v>
      </c>
    </row>
    <row r="65" spans="1:7">
      <c r="A65" s="4">
        <v>64</v>
      </c>
      <c r="B65" s="3">
        <v>0</v>
      </c>
      <c r="C65" s="3">
        <v>1.3908439372032537</v>
      </c>
      <c r="D65" s="3">
        <v>1.3818412036126482</v>
      </c>
      <c r="E65" s="3">
        <v>-1.0446386175466813</v>
      </c>
      <c r="F65" s="3">
        <v>3</v>
      </c>
      <c r="G65" s="4" t="s">
        <v>7</v>
      </c>
    </row>
    <row r="66" spans="1:7">
      <c r="A66" s="4">
        <v>65</v>
      </c>
      <c r="B66" s="3">
        <v>0</v>
      </c>
      <c r="C66" s="3">
        <v>1.7645035024220384</v>
      </c>
      <c r="D66" s="3">
        <v>1.539981068876221</v>
      </c>
      <c r="E66" s="3">
        <v>-1.0446386175466813</v>
      </c>
      <c r="F66" s="3">
        <v>3</v>
      </c>
      <c r="G66" s="4" t="s">
        <v>7</v>
      </c>
    </row>
    <row r="67" spans="1:7">
      <c r="A67" s="4">
        <v>66</v>
      </c>
      <c r="B67" s="3">
        <v>0</v>
      </c>
      <c r="C67" s="3">
        <v>-0.47745388889066914</v>
      </c>
      <c r="D67" s="3">
        <v>-0.6739770448137985</v>
      </c>
      <c r="E67" s="3">
        <v>-1.0446386175466813</v>
      </c>
      <c r="F67" s="3">
        <v>3</v>
      </c>
      <c r="G67" s="4" t="s">
        <v>5</v>
      </c>
    </row>
    <row r="68" spans="1:7">
      <c r="A68" s="4">
        <v>67</v>
      </c>
      <c r="B68" s="3">
        <v>0</v>
      </c>
      <c r="C68" s="3">
        <v>-0.47745388889066914</v>
      </c>
      <c r="D68" s="3">
        <v>-0.6739770448137985</v>
      </c>
      <c r="E68" s="3">
        <v>0.94967147049698286</v>
      </c>
      <c r="F68" s="3">
        <v>3</v>
      </c>
      <c r="G68" s="4" t="s">
        <v>5</v>
      </c>
    </row>
    <row r="69" spans="1:7">
      <c r="A69" s="4">
        <v>68</v>
      </c>
      <c r="B69" s="3">
        <v>0</v>
      </c>
      <c r="C69" s="3">
        <v>-0.47745388889066914</v>
      </c>
      <c r="D69" s="3">
        <v>-0.6739770448137985</v>
      </c>
      <c r="E69" s="3">
        <v>0.94967147049698286</v>
      </c>
      <c r="F69" s="3">
        <v>3</v>
      </c>
      <c r="G69" s="4" t="s">
        <v>5</v>
      </c>
    </row>
    <row r="70" spans="1:7">
      <c r="A70" s="4">
        <v>69</v>
      </c>
      <c r="B70" s="3">
        <v>0</v>
      </c>
      <c r="C70" s="3">
        <v>-0.47745388889066914</v>
      </c>
      <c r="D70" s="3">
        <v>1.0655614730855028</v>
      </c>
      <c r="E70" s="3">
        <v>0.94967147049698286</v>
      </c>
      <c r="F70" s="3">
        <v>3</v>
      </c>
      <c r="G70" s="4" t="s">
        <v>5</v>
      </c>
    </row>
    <row r="71" spans="1:7">
      <c r="A71" s="4">
        <v>70</v>
      </c>
      <c r="B71" s="3">
        <v>0</v>
      </c>
      <c r="C71" s="3">
        <v>-0.47745388889066914</v>
      </c>
      <c r="D71" s="3">
        <v>-0.6739770448137985</v>
      </c>
      <c r="E71" s="3">
        <v>-1.0446386175466813</v>
      </c>
      <c r="F71" s="3">
        <v>3</v>
      </c>
      <c r="G71" s="4" t="s">
        <v>5</v>
      </c>
    </row>
    <row r="72" spans="1:7">
      <c r="A72" s="4">
        <v>71</v>
      </c>
      <c r="B72" s="3">
        <v>0</v>
      </c>
      <c r="C72" s="3">
        <v>-0.10379432367188457</v>
      </c>
      <c r="D72" s="3">
        <v>0.59114187729478418</v>
      </c>
      <c r="E72" s="3">
        <v>0.94967147049698286</v>
      </c>
      <c r="F72" s="3">
        <v>3</v>
      </c>
      <c r="G72" s="4" t="s">
        <v>6</v>
      </c>
    </row>
    <row r="73" spans="1:7">
      <c r="A73" s="4">
        <v>72</v>
      </c>
      <c r="B73" s="3">
        <v>0</v>
      </c>
      <c r="C73" s="3">
        <v>-0.10379432367188457</v>
      </c>
      <c r="D73" s="3">
        <v>0.749281742558357</v>
      </c>
      <c r="E73" s="3">
        <v>0.94967147049698286</v>
      </c>
      <c r="F73" s="3">
        <v>3</v>
      </c>
      <c r="G73" s="4" t="s">
        <v>6</v>
      </c>
    </row>
    <row r="74" spans="1:7">
      <c r="A74" s="4">
        <v>73</v>
      </c>
      <c r="B74" s="3">
        <v>0</v>
      </c>
      <c r="C74" s="3">
        <v>-0.47745388889066914</v>
      </c>
      <c r="D74" s="3">
        <v>-0.6739770448137985</v>
      </c>
      <c r="E74" s="3">
        <v>-1.0446386175466813</v>
      </c>
      <c r="F74" s="3">
        <v>3</v>
      </c>
      <c r="G74" s="4" t="s">
        <v>5</v>
      </c>
    </row>
    <row r="75" spans="1:7">
      <c r="A75" s="4">
        <v>74</v>
      </c>
      <c r="B75" s="3">
        <v>0</v>
      </c>
      <c r="C75" s="3">
        <v>-0.10379432367188457</v>
      </c>
      <c r="D75" s="3">
        <v>-0.35769731428665286</v>
      </c>
      <c r="E75" s="3">
        <v>0.94967147049698286</v>
      </c>
      <c r="F75" s="3">
        <v>3</v>
      </c>
      <c r="G75" s="4" t="s">
        <v>6</v>
      </c>
    </row>
    <row r="76" spans="1:7">
      <c r="A76" s="4">
        <v>75</v>
      </c>
      <c r="B76" s="3">
        <v>0</v>
      </c>
      <c r="C76" s="3">
        <v>-0.47745388889066914</v>
      </c>
      <c r="D76" s="3">
        <v>-0.6739770448137985</v>
      </c>
      <c r="E76" s="3">
        <v>0.94967147049698286</v>
      </c>
      <c r="F76" s="3">
        <v>4</v>
      </c>
      <c r="G76" s="4" t="s">
        <v>5</v>
      </c>
    </row>
    <row r="77" spans="1:7">
      <c r="A77" s="4">
        <v>76</v>
      </c>
      <c r="B77" s="3">
        <v>0</v>
      </c>
      <c r="C77" s="3">
        <v>-0.10379432367188457</v>
      </c>
      <c r="D77" s="3">
        <v>-0.51583717955022568</v>
      </c>
      <c r="E77" s="3">
        <v>-1.0446386175466813</v>
      </c>
      <c r="F77" s="3">
        <v>4</v>
      </c>
      <c r="G77" s="4" t="s">
        <v>6</v>
      </c>
    </row>
    <row r="78" spans="1:7">
      <c r="A78" s="4">
        <v>77</v>
      </c>
      <c r="B78" s="3">
        <v>0</v>
      </c>
      <c r="C78" s="3">
        <v>2.1381630676408232</v>
      </c>
      <c r="D78" s="3">
        <v>1.6981209341397938</v>
      </c>
      <c r="E78" s="3">
        <v>0.94967147049698286</v>
      </c>
      <c r="F78" s="3">
        <v>4</v>
      </c>
      <c r="G78" s="4" t="s">
        <v>7</v>
      </c>
    </row>
    <row r="79" spans="1:7">
      <c r="A79" s="4">
        <v>78</v>
      </c>
      <c r="B79" s="3">
        <v>0</v>
      </c>
      <c r="C79" s="3">
        <v>-0.47745388889066914</v>
      </c>
      <c r="D79" s="3">
        <v>0.43300201203121136</v>
      </c>
      <c r="E79" s="3">
        <v>-1.0446386175466813</v>
      </c>
      <c r="F79" s="3">
        <v>4</v>
      </c>
      <c r="G79" s="4" t="s">
        <v>5</v>
      </c>
    </row>
    <row r="80" spans="1:7">
      <c r="A80" s="4">
        <v>79</v>
      </c>
      <c r="B80" s="3">
        <v>0</v>
      </c>
      <c r="C80" s="3">
        <v>-0.10379432367188457</v>
      </c>
      <c r="D80" s="3">
        <v>-0.51583717955022568</v>
      </c>
      <c r="E80" s="3">
        <v>-1.0446386175466813</v>
      </c>
      <c r="F80" s="3">
        <v>4</v>
      </c>
      <c r="G80" s="4" t="s">
        <v>6</v>
      </c>
    </row>
    <row r="81" spans="1:7">
      <c r="A81" s="4">
        <v>80</v>
      </c>
      <c r="B81" s="3">
        <v>0</v>
      </c>
      <c r="C81" s="3">
        <v>-0.10379432367188457</v>
      </c>
      <c r="D81" s="3">
        <v>-0.35769731428665286</v>
      </c>
      <c r="E81" s="3">
        <v>-1.0446386175466813</v>
      </c>
      <c r="F81" s="3">
        <v>4</v>
      </c>
      <c r="G81" s="4" t="s">
        <v>6</v>
      </c>
    </row>
    <row r="82" spans="1:7">
      <c r="A82" s="4">
        <v>81</v>
      </c>
      <c r="B82" s="3">
        <v>0</v>
      </c>
      <c r="C82" s="3">
        <v>2.5118226328596074</v>
      </c>
      <c r="D82" s="3">
        <v>1.8562607994033669</v>
      </c>
      <c r="E82" s="3">
        <v>-1.0446386175466813</v>
      </c>
      <c r="F82" s="3">
        <v>4</v>
      </c>
      <c r="G82" s="4" t="s">
        <v>7</v>
      </c>
    </row>
    <row r="83" spans="1:7">
      <c r="A83" s="4">
        <v>82</v>
      </c>
      <c r="B83" s="3">
        <v>0</v>
      </c>
      <c r="C83" s="3">
        <v>-0.47745388889066914</v>
      </c>
      <c r="D83" s="3">
        <v>-0.6739770448137985</v>
      </c>
      <c r="E83" s="3">
        <v>-1.0446386175466813</v>
      </c>
      <c r="F83" s="3">
        <v>4</v>
      </c>
      <c r="G83" s="4" t="s">
        <v>5</v>
      </c>
    </row>
    <row r="84" spans="1:7">
      <c r="A84" s="4">
        <v>83</v>
      </c>
      <c r="B84" s="3">
        <v>0</v>
      </c>
      <c r="C84" s="3">
        <v>-0.10379432367188457</v>
      </c>
      <c r="D84" s="3">
        <v>-0.51583717955022568</v>
      </c>
      <c r="E84" s="3">
        <v>-1.0446386175466813</v>
      </c>
      <c r="F84" s="3">
        <v>4</v>
      </c>
      <c r="G84" s="4" t="s">
        <v>6</v>
      </c>
    </row>
    <row r="85" spans="1:7">
      <c r="A85" s="4">
        <v>84</v>
      </c>
      <c r="B85" s="3">
        <v>0</v>
      </c>
      <c r="C85" s="3">
        <v>-0.47745388889066914</v>
      </c>
      <c r="D85" s="3">
        <v>0.43300201203121136</v>
      </c>
      <c r="E85" s="3">
        <v>-1.0446386175466813</v>
      </c>
      <c r="F85" s="3">
        <v>4</v>
      </c>
      <c r="G85" s="4" t="s">
        <v>5</v>
      </c>
    </row>
    <row r="86" spans="1:7">
      <c r="A86" s="4">
        <v>85</v>
      </c>
      <c r="B86" s="3">
        <v>0</v>
      </c>
      <c r="C86" s="3">
        <v>-0.10379432367188457</v>
      </c>
      <c r="D86" s="3">
        <v>-0.35769731428665286</v>
      </c>
      <c r="E86" s="3">
        <v>0.94967147049698286</v>
      </c>
      <c r="F86" s="3">
        <v>4</v>
      </c>
      <c r="G86" s="4" t="s">
        <v>6</v>
      </c>
    </row>
    <row r="87" spans="1:7">
      <c r="A87" s="4">
        <v>86</v>
      </c>
      <c r="B87" s="3">
        <v>0</v>
      </c>
      <c r="C87" s="3">
        <v>-0.10379432367188457</v>
      </c>
      <c r="D87" s="3">
        <v>0.11672228150406568</v>
      </c>
      <c r="E87" s="3">
        <v>0.94967147049698286</v>
      </c>
      <c r="F87" s="3">
        <v>4</v>
      </c>
      <c r="G87" s="4" t="s">
        <v>6</v>
      </c>
    </row>
    <row r="88" spans="1:7">
      <c r="A88" s="4">
        <v>87</v>
      </c>
      <c r="B88" s="3">
        <v>0</v>
      </c>
      <c r="C88" s="3">
        <v>-0.10379432367188457</v>
      </c>
      <c r="D88" s="3">
        <v>0.11672228150406568</v>
      </c>
      <c r="E88" s="3">
        <v>0.94967147049698286</v>
      </c>
      <c r="F88" s="3">
        <v>4</v>
      </c>
      <c r="G88" s="4" t="s">
        <v>6</v>
      </c>
    </row>
    <row r="89" spans="1:7">
      <c r="A89" s="4">
        <v>88</v>
      </c>
      <c r="B89" s="3">
        <v>0</v>
      </c>
      <c r="C89" s="3">
        <v>-0.10379432367188457</v>
      </c>
      <c r="D89" s="3">
        <v>-0.51583717955022568</v>
      </c>
      <c r="E89" s="3">
        <v>0.94967147049698286</v>
      </c>
      <c r="F89" s="3">
        <v>4</v>
      </c>
      <c r="G89" s="4" t="s">
        <v>6</v>
      </c>
    </row>
    <row r="90" spans="1:7">
      <c r="A90" s="4">
        <v>89</v>
      </c>
      <c r="B90" s="3">
        <v>0</v>
      </c>
      <c r="C90" s="3">
        <v>-0.10379432367188457</v>
      </c>
      <c r="D90" s="3">
        <v>-0.35769731428665286</v>
      </c>
      <c r="E90" s="3">
        <v>0.94967147049698286</v>
      </c>
      <c r="F90" s="3">
        <v>4</v>
      </c>
      <c r="G90" s="4" t="s">
        <v>6</v>
      </c>
    </row>
    <row r="91" spans="1:7">
      <c r="A91" s="4">
        <v>90</v>
      </c>
      <c r="B91" s="3">
        <v>0</v>
      </c>
      <c r="C91" s="3">
        <v>2.885482198078392</v>
      </c>
      <c r="D91" s="3">
        <v>2.0144006646669395</v>
      </c>
      <c r="E91" s="3">
        <v>0.94967147049698286</v>
      </c>
      <c r="F91" s="3">
        <v>4</v>
      </c>
      <c r="G91" s="4" t="s">
        <v>7</v>
      </c>
    </row>
    <row r="92" spans="1:7">
      <c r="A92" s="4">
        <v>91</v>
      </c>
      <c r="B92" s="3">
        <v>0</v>
      </c>
      <c r="C92" s="3">
        <v>3.2591417632971766</v>
      </c>
      <c r="D92" s="3">
        <v>2.1725405299305125</v>
      </c>
      <c r="E92" s="3">
        <v>0.94967147049698286</v>
      </c>
      <c r="F92" s="3">
        <v>4</v>
      </c>
      <c r="G92" s="4" t="s">
        <v>7</v>
      </c>
    </row>
    <row r="93" spans="1:7">
      <c r="A93" s="4">
        <v>92</v>
      </c>
      <c r="B93" s="3">
        <v>0</v>
      </c>
      <c r="C93" s="3">
        <v>-0.10379432367188457</v>
      </c>
      <c r="D93" s="3">
        <v>-0.51583717955022568</v>
      </c>
      <c r="E93" s="3">
        <v>-1.0446386175466813</v>
      </c>
      <c r="F93" s="3">
        <v>4</v>
      </c>
      <c r="G93" s="4" t="s">
        <v>6</v>
      </c>
    </row>
    <row r="94" spans="1:7">
      <c r="A94" s="4">
        <v>93</v>
      </c>
      <c r="B94" s="3">
        <v>0</v>
      </c>
      <c r="C94" s="3">
        <v>-0.47745388889066914</v>
      </c>
      <c r="D94" s="3">
        <v>-0.6739770448137985</v>
      </c>
      <c r="E94" s="3">
        <v>-1.0446386175466813</v>
      </c>
      <c r="F94" s="3">
        <v>4</v>
      </c>
      <c r="G94" s="4" t="s">
        <v>5</v>
      </c>
    </row>
    <row r="95" spans="1:7">
      <c r="A95" s="4">
        <v>94</v>
      </c>
      <c r="B95" s="3">
        <v>0</v>
      </c>
      <c r="C95" s="3">
        <v>3.6328013285159608</v>
      </c>
      <c r="D95" s="3">
        <v>2.3306803951940851</v>
      </c>
      <c r="E95" s="3">
        <v>-1.0446386175466813</v>
      </c>
      <c r="F95" s="3">
        <v>4</v>
      </c>
      <c r="G95" s="4" t="s">
        <v>7</v>
      </c>
    </row>
    <row r="96" spans="1:7">
      <c r="A96" s="4">
        <v>95</v>
      </c>
      <c r="B96" s="3">
        <v>0</v>
      </c>
      <c r="C96" s="3">
        <v>-0.10379432367188457</v>
      </c>
      <c r="D96" s="3">
        <v>-0.35769731428665286</v>
      </c>
      <c r="E96" s="3">
        <v>0.94967147049698286</v>
      </c>
      <c r="F96" s="3">
        <v>4</v>
      </c>
      <c r="G96" s="4" t="s">
        <v>6</v>
      </c>
    </row>
    <row r="97" spans="1:7">
      <c r="A97" s="4">
        <v>96</v>
      </c>
      <c r="B97" s="3">
        <v>0</v>
      </c>
      <c r="C97" s="3">
        <v>-0.47745388889066914</v>
      </c>
      <c r="D97" s="3">
        <v>2.4888202604576581</v>
      </c>
      <c r="E97" s="3">
        <v>-1.0446386175466813</v>
      </c>
      <c r="F97" s="3">
        <v>5</v>
      </c>
      <c r="G97" s="4" t="s">
        <v>5</v>
      </c>
    </row>
    <row r="98" spans="1:7">
      <c r="A98" s="4">
        <v>97</v>
      </c>
      <c r="B98" s="3">
        <v>0</v>
      </c>
      <c r="C98" s="3">
        <v>4.0064608937347455</v>
      </c>
      <c r="D98" s="3">
        <v>2.6469601257212307</v>
      </c>
      <c r="E98" s="3">
        <v>0.94967147049698286</v>
      </c>
      <c r="F98" s="3">
        <v>5</v>
      </c>
      <c r="G98" s="4" t="s">
        <v>7</v>
      </c>
    </row>
    <row r="99" spans="1:7">
      <c r="A99" s="4">
        <v>98</v>
      </c>
      <c r="B99" s="3">
        <v>0</v>
      </c>
      <c r="C99" s="3">
        <v>-0.47745388889066914</v>
      </c>
      <c r="D99" s="3">
        <v>2.8050999909848038</v>
      </c>
      <c r="E99" s="3">
        <v>-1.0446386175466813</v>
      </c>
      <c r="F99" s="3">
        <v>5</v>
      </c>
      <c r="G99" s="4" t="s">
        <v>5</v>
      </c>
    </row>
    <row r="100" spans="1:7">
      <c r="A100" s="4">
        <v>99</v>
      </c>
      <c r="B100" s="3">
        <v>0</v>
      </c>
      <c r="C100" s="3">
        <v>4.3801204589535301</v>
      </c>
      <c r="D100" s="3">
        <v>2.9632398562483768</v>
      </c>
      <c r="E100" s="3">
        <v>-1.0446386175466813</v>
      </c>
      <c r="F100" s="3">
        <v>5</v>
      </c>
      <c r="G100" s="4" t="s">
        <v>7</v>
      </c>
    </row>
    <row r="101" spans="1:7">
      <c r="A101" s="4">
        <v>100</v>
      </c>
      <c r="B101" s="3">
        <v>0</v>
      </c>
      <c r="C101" s="3">
        <v>-0.47745388889066914</v>
      </c>
      <c r="D101" s="3">
        <v>-0.6739770448137985</v>
      </c>
      <c r="E101" s="3">
        <v>-1.0446386175466813</v>
      </c>
      <c r="F101" s="3">
        <v>5</v>
      </c>
      <c r="G101" s="4" t="s">
        <v>5</v>
      </c>
    </row>
    <row r="102" spans="1:7">
      <c r="A102" s="4">
        <v>101</v>
      </c>
      <c r="B102" s="3">
        <v>0</v>
      </c>
      <c r="C102" s="3">
        <v>4.7537800241723147</v>
      </c>
      <c r="D102" s="3">
        <v>3.1213797215119494</v>
      </c>
      <c r="E102" s="3">
        <v>0.94967147049698286</v>
      </c>
      <c r="F102" s="3">
        <v>5</v>
      </c>
      <c r="G102" s="4" t="s">
        <v>7</v>
      </c>
    </row>
    <row r="103" spans="1:7">
      <c r="A103" s="4">
        <v>102</v>
      </c>
      <c r="B103" s="3">
        <v>0</v>
      </c>
      <c r="C103" s="3">
        <v>1.7645035024220384</v>
      </c>
      <c r="D103" s="3">
        <v>3.2795195867755225</v>
      </c>
      <c r="E103" s="3">
        <v>-1.0446386175466813</v>
      </c>
      <c r="F103" s="3">
        <v>5</v>
      </c>
      <c r="G103" s="4" t="s">
        <v>7</v>
      </c>
    </row>
    <row r="104" spans="1:7">
      <c r="A104" s="4">
        <v>103</v>
      </c>
      <c r="B104" s="3">
        <v>0</v>
      </c>
      <c r="C104" s="3">
        <v>-0.10379432367188457</v>
      </c>
      <c r="D104" s="3">
        <v>-0.35769731428665286</v>
      </c>
      <c r="E104" s="3">
        <v>-1.0446386175466813</v>
      </c>
      <c r="F104" s="3">
        <v>5</v>
      </c>
      <c r="G104" s="4" t="s">
        <v>6</v>
      </c>
    </row>
    <row r="105" spans="1:7">
      <c r="A105" s="4">
        <v>104</v>
      </c>
      <c r="B105" s="3">
        <v>0</v>
      </c>
      <c r="C105" s="3">
        <v>-0.47745388889066914</v>
      </c>
      <c r="D105" s="3">
        <v>-0.6739770448137985</v>
      </c>
      <c r="E105" s="3">
        <v>0.94967147049698286</v>
      </c>
      <c r="F105" s="3">
        <v>5</v>
      </c>
      <c r="G105" s="4" t="s">
        <v>5</v>
      </c>
    </row>
    <row r="106" spans="1:7">
      <c r="A106" s="4">
        <v>105</v>
      </c>
      <c r="B106" s="3">
        <v>0</v>
      </c>
      <c r="C106" s="3">
        <v>-0.47745388889066914</v>
      </c>
      <c r="D106" s="3">
        <v>-0.6739770448137985</v>
      </c>
      <c r="E106" s="3">
        <v>0.94967147049698286</v>
      </c>
      <c r="F106" s="3">
        <v>5</v>
      </c>
      <c r="G106" s="4" t="s">
        <v>5</v>
      </c>
    </row>
    <row r="107" spans="1:7">
      <c r="A107" s="4">
        <v>106</v>
      </c>
      <c r="B107" s="3">
        <v>0</v>
      </c>
      <c r="C107" s="3">
        <v>-0.10379432367188457</v>
      </c>
      <c r="D107" s="3">
        <v>-0.19955744902308001</v>
      </c>
      <c r="E107" s="3">
        <v>0.94967147049698286</v>
      </c>
      <c r="F107" s="3">
        <v>5</v>
      </c>
      <c r="G107" s="4" t="s">
        <v>6</v>
      </c>
    </row>
    <row r="108" spans="1:7">
      <c r="A108" s="4">
        <v>107</v>
      </c>
      <c r="B108" s="3">
        <v>0</v>
      </c>
      <c r="C108" s="3">
        <v>-0.10379432367188457</v>
      </c>
      <c r="D108" s="3">
        <v>-0.51583717955022568</v>
      </c>
      <c r="E108" s="3">
        <v>0.94967147049698286</v>
      </c>
      <c r="F108" s="3">
        <v>5</v>
      </c>
      <c r="G108" s="4" t="s">
        <v>6</v>
      </c>
    </row>
    <row r="109" spans="1:7">
      <c r="A109" s="4">
        <v>108</v>
      </c>
      <c r="B109" s="3">
        <v>0</v>
      </c>
      <c r="C109" s="3">
        <v>-0.47745388889066914</v>
      </c>
      <c r="D109" s="3">
        <v>-0.6739770448137985</v>
      </c>
      <c r="E109" s="3">
        <v>0.94967147049698286</v>
      </c>
      <c r="F109" s="3">
        <v>5</v>
      </c>
      <c r="G109" s="4" t="s">
        <v>5</v>
      </c>
    </row>
    <row r="110" spans="1:7">
      <c r="A110" s="4">
        <v>109</v>
      </c>
      <c r="B110" s="3">
        <v>0</v>
      </c>
      <c r="C110" s="3">
        <v>-0.47745388889066914</v>
      </c>
      <c r="D110" s="3">
        <v>-0.6739770448137985</v>
      </c>
      <c r="E110" s="3">
        <v>0.94967147049698286</v>
      </c>
      <c r="F110" s="3">
        <v>5</v>
      </c>
      <c r="G110" s="4" t="s">
        <v>5</v>
      </c>
    </row>
    <row r="111" spans="1:7">
      <c r="A111" s="4">
        <v>110</v>
      </c>
      <c r="B111" s="3">
        <v>0</v>
      </c>
      <c r="C111" s="3">
        <v>-0.47745388889066914</v>
      </c>
      <c r="D111" s="3">
        <v>-0.6739770448137985</v>
      </c>
      <c r="E111" s="3">
        <v>-1.0446386175466813</v>
      </c>
      <c r="F111" s="3">
        <v>5</v>
      </c>
      <c r="G111" s="4" t="s">
        <v>5</v>
      </c>
    </row>
    <row r="112" spans="1:7">
      <c r="A112" s="4">
        <v>111</v>
      </c>
      <c r="B112" s="3">
        <v>0</v>
      </c>
      <c r="C112" s="3">
        <v>-0.47745388889066914</v>
      </c>
      <c r="D112" s="3">
        <v>-0.6739770448137985</v>
      </c>
      <c r="E112" s="3">
        <v>-1.0446386175466813</v>
      </c>
      <c r="F112" s="3">
        <v>5</v>
      </c>
      <c r="G112" s="4" t="s">
        <v>5</v>
      </c>
    </row>
    <row r="113" spans="1:7">
      <c r="A113" s="4">
        <v>112</v>
      </c>
      <c r="B113" s="3">
        <v>0</v>
      </c>
      <c r="C113" s="3">
        <v>-0.10379432367188457</v>
      </c>
      <c r="D113" s="3">
        <v>-0.51583717955022568</v>
      </c>
      <c r="E113" s="3">
        <v>0.94967147049698286</v>
      </c>
      <c r="F113" s="3">
        <v>5</v>
      </c>
      <c r="G113" s="4" t="s">
        <v>6</v>
      </c>
    </row>
    <row r="114" spans="1:7">
      <c r="A114" s="4">
        <v>113</v>
      </c>
      <c r="B114" s="3">
        <v>0</v>
      </c>
      <c r="C114" s="3">
        <v>-0.47745388889066914</v>
      </c>
      <c r="D114" s="3">
        <v>-0.6739770448137985</v>
      </c>
      <c r="E114" s="3">
        <v>0.94967147049698286</v>
      </c>
      <c r="F114" s="3">
        <v>5</v>
      </c>
      <c r="G114" s="4" t="s">
        <v>5</v>
      </c>
    </row>
    <row r="115" spans="1:7">
      <c r="A115" s="4">
        <v>114</v>
      </c>
      <c r="B115" s="3">
        <v>0</v>
      </c>
      <c r="C115" s="3">
        <v>-0.47745388889066914</v>
      </c>
      <c r="D115" s="3">
        <v>-0.6739770448137985</v>
      </c>
      <c r="E115" s="3">
        <v>-1.0446386175466813</v>
      </c>
      <c r="F115" s="3">
        <v>5</v>
      </c>
      <c r="G115" s="4" t="s">
        <v>5</v>
      </c>
    </row>
    <row r="116" spans="1:7">
      <c r="A116" s="4">
        <v>115</v>
      </c>
      <c r="B116" s="3">
        <v>0</v>
      </c>
      <c r="C116" s="3">
        <v>-0.47745388889066914</v>
      </c>
      <c r="D116" s="3">
        <v>-0.6739770448137985</v>
      </c>
      <c r="E116" s="3">
        <v>-1.0446386175466813</v>
      </c>
      <c r="F116" s="3">
        <v>5</v>
      </c>
      <c r="G116" s="4" t="s">
        <v>5</v>
      </c>
    </row>
    <row r="117" spans="1:7">
      <c r="A117" s="4">
        <v>116</v>
      </c>
      <c r="B117" s="3">
        <v>0</v>
      </c>
      <c r="C117" s="3">
        <v>-0.47745388889066914</v>
      </c>
      <c r="D117" s="3">
        <v>-0.6739770448137985</v>
      </c>
      <c r="E117" s="3">
        <v>-1.0446386175466813</v>
      </c>
      <c r="F117" s="3">
        <v>5</v>
      </c>
      <c r="G117" s="4" t="s">
        <v>5</v>
      </c>
    </row>
    <row r="118" spans="1:7">
      <c r="A118" s="4">
        <v>117</v>
      </c>
      <c r="B118" s="3">
        <v>0</v>
      </c>
      <c r="C118" s="3">
        <v>-0.47745388889066914</v>
      </c>
      <c r="D118" s="3">
        <v>-0.6739770448137985</v>
      </c>
      <c r="E118" s="3">
        <v>-1.0446386175466813</v>
      </c>
      <c r="F118" s="3">
        <v>6</v>
      </c>
      <c r="G118" s="4" t="s">
        <v>5</v>
      </c>
    </row>
    <row r="119" spans="1:7">
      <c r="A119" s="4">
        <v>118</v>
      </c>
      <c r="B119" s="3">
        <v>0</v>
      </c>
      <c r="C119" s="3">
        <v>-0.47745388889066914</v>
      </c>
      <c r="D119" s="3">
        <v>-0.6739770448137985</v>
      </c>
      <c r="E119" s="3">
        <v>0.94967147049698286</v>
      </c>
      <c r="F119" s="3">
        <v>6</v>
      </c>
      <c r="G119" s="4" t="s">
        <v>5</v>
      </c>
    </row>
    <row r="120" spans="1:7">
      <c r="A120" s="4">
        <v>119</v>
      </c>
      <c r="B120" s="3">
        <v>0</v>
      </c>
      <c r="C120" s="3">
        <v>-0.10379432367188457</v>
      </c>
      <c r="D120" s="3">
        <v>-0.35769731428665286</v>
      </c>
      <c r="E120" s="3">
        <v>-1.0446386175466813</v>
      </c>
      <c r="F120" s="3">
        <v>6</v>
      </c>
      <c r="G120" s="4" t="s">
        <v>6</v>
      </c>
    </row>
    <row r="121" spans="1:7">
      <c r="A121" s="4">
        <v>120</v>
      </c>
      <c r="B121" s="3">
        <v>0</v>
      </c>
      <c r="C121" s="3">
        <v>-0.10379432367188457</v>
      </c>
      <c r="D121" s="3">
        <v>-0.35769731428665286</v>
      </c>
      <c r="E121" s="3">
        <v>0.94967147049698286</v>
      </c>
      <c r="F121" s="3">
        <v>6</v>
      </c>
      <c r="G121" s="4" t="s">
        <v>6</v>
      </c>
    </row>
    <row r="122" spans="1:7">
      <c r="A122" s="4">
        <v>121</v>
      </c>
      <c r="B122" s="3">
        <v>0</v>
      </c>
      <c r="C122" s="3">
        <v>-0.10379432367188457</v>
      </c>
      <c r="D122" s="3">
        <v>-0.35769731428665286</v>
      </c>
      <c r="E122" s="3">
        <v>-1.0446386175466813</v>
      </c>
      <c r="F122" s="3">
        <v>6</v>
      </c>
      <c r="G122" s="4" t="s">
        <v>6</v>
      </c>
    </row>
    <row r="123" spans="1:7">
      <c r="A123" s="4">
        <v>122</v>
      </c>
      <c r="B123" s="3">
        <v>0</v>
      </c>
      <c r="C123" s="3">
        <v>-0.47745388889066914</v>
      </c>
      <c r="D123" s="3">
        <v>3.4376594520390951</v>
      </c>
      <c r="E123" s="3">
        <v>0.94967147049698286</v>
      </c>
      <c r="F123" s="3">
        <v>6</v>
      </c>
      <c r="G123" s="4" t="s">
        <v>5</v>
      </c>
    </row>
    <row r="124" spans="1:7">
      <c r="A124" s="4">
        <v>123</v>
      </c>
      <c r="B124" s="3">
        <v>0</v>
      </c>
      <c r="C124" s="3">
        <v>-0.47745388889066914</v>
      </c>
      <c r="D124" s="3">
        <v>-0.6739770448137985</v>
      </c>
      <c r="E124" s="3">
        <v>0.94967147049698286</v>
      </c>
      <c r="F124" s="3">
        <v>6</v>
      </c>
      <c r="G124" s="4" t="s">
        <v>5</v>
      </c>
    </row>
    <row r="125" spans="1:7">
      <c r="A125" s="4">
        <v>124</v>
      </c>
      <c r="B125" s="3">
        <v>0</v>
      </c>
      <c r="C125" s="3">
        <v>-0.47745388889066914</v>
      </c>
      <c r="D125" s="3">
        <v>-0.6739770448137985</v>
      </c>
      <c r="E125" s="3">
        <v>-1.0446386175466813</v>
      </c>
      <c r="F125" s="3">
        <v>6</v>
      </c>
      <c r="G125" s="4" t="s">
        <v>5</v>
      </c>
    </row>
    <row r="126" spans="1:7">
      <c r="A126" s="4">
        <v>125</v>
      </c>
      <c r="B126" s="3">
        <v>0</v>
      </c>
      <c r="C126" s="3">
        <v>-0.47745388889066914</v>
      </c>
      <c r="D126" s="3">
        <v>-0.6739770448137985</v>
      </c>
      <c r="E126" s="3">
        <v>-1.0446386175466813</v>
      </c>
      <c r="F126" s="3">
        <v>6</v>
      </c>
      <c r="G126" s="4" t="s">
        <v>5</v>
      </c>
    </row>
    <row r="127" spans="1:7">
      <c r="A127" s="4">
        <v>126</v>
      </c>
      <c r="B127" s="3">
        <v>0</v>
      </c>
      <c r="C127" s="3">
        <v>-0.47745388889066914</v>
      </c>
      <c r="D127" s="3">
        <v>-0.6739770448137985</v>
      </c>
      <c r="E127" s="3">
        <v>-1.0446386175466813</v>
      </c>
      <c r="F127" s="3">
        <v>6</v>
      </c>
      <c r="G127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ADA1-4496-9740-AF98-C9FBA3808E0A}">
  <dimension ref="A1:H4"/>
  <sheetViews>
    <sheetView workbookViewId="0">
      <selection sqref="A1:G4"/>
    </sheetView>
  </sheetViews>
  <sheetFormatPr baseColWidth="10" defaultRowHeight="15"/>
  <sheetData>
    <row r="1" spans="1:8">
      <c r="A1" s="5" t="s">
        <v>9</v>
      </c>
      <c r="B1" s="5" t="s">
        <v>10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8">
      <c r="A2" s="7" t="s">
        <v>5</v>
      </c>
      <c r="B2" s="4">
        <v>1</v>
      </c>
      <c r="C2" s="3">
        <v>0</v>
      </c>
      <c r="D2" s="3">
        <v>-0.47745388889066914</v>
      </c>
      <c r="E2" s="3">
        <v>-0.6739770448137985</v>
      </c>
      <c r="F2" s="3">
        <v>-1.0446386175466813</v>
      </c>
      <c r="G2" s="3">
        <v>1</v>
      </c>
      <c r="H2" s="4"/>
    </row>
    <row r="3" spans="1:8">
      <c r="A3" s="7" t="s">
        <v>6</v>
      </c>
      <c r="B3" s="4">
        <v>2</v>
      </c>
      <c r="C3" s="3">
        <v>0</v>
      </c>
      <c r="D3" s="3">
        <v>-0.10379432367188457</v>
      </c>
      <c r="E3" s="3">
        <v>-0.51583717955022568</v>
      </c>
      <c r="F3" s="3">
        <v>0.94967147049698286</v>
      </c>
      <c r="G3" s="3">
        <v>1</v>
      </c>
    </row>
    <row r="4" spans="1:8">
      <c r="A4" s="7" t="s">
        <v>7</v>
      </c>
      <c r="B4" s="4">
        <v>21</v>
      </c>
      <c r="C4" s="3">
        <v>0</v>
      </c>
      <c r="D4" s="3">
        <v>0.64352480676568458</v>
      </c>
      <c r="E4" s="3">
        <v>0.27486214676763854</v>
      </c>
      <c r="F4" s="3">
        <v>-1.0446386175466813</v>
      </c>
      <c r="G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DD4F-0CC7-9E40-8820-DFD3C12873AD}">
  <dimension ref="A1:L135"/>
  <sheetViews>
    <sheetView workbookViewId="0">
      <selection activeCell="N1" sqref="N1:N1048576"/>
    </sheetView>
  </sheetViews>
  <sheetFormatPr baseColWidth="10" defaultRowHeight="15"/>
  <cols>
    <col min="1" max="11" width="10.83203125" style="1"/>
    <col min="12" max="12" width="19" style="1" bestFit="1" customWidth="1"/>
    <col min="13" max="16384" width="10.83203125" style="1"/>
  </cols>
  <sheetData>
    <row r="1" spans="1:12">
      <c r="A1" s="12" t="s">
        <v>9</v>
      </c>
      <c r="B1" s="12" t="s">
        <v>10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v>1</v>
      </c>
      <c r="C2" s="3">
        <v>0</v>
      </c>
      <c r="D2" s="3">
        <v>-0.5</v>
      </c>
      <c r="E2" s="3">
        <v>-0.7</v>
      </c>
      <c r="F2" s="3">
        <v>-1</v>
      </c>
      <c r="G2" s="3">
        <v>1</v>
      </c>
      <c r="K2" s="1">
        <v>1</v>
      </c>
      <c r="L2" s="1">
        <f>COUNTIF($L$10:$L$135,A2)</f>
        <v>43</v>
      </c>
    </row>
    <row r="3" spans="1:12">
      <c r="A3" s="13">
        <v>2</v>
      </c>
      <c r="B3" s="9">
        <v>2</v>
      </c>
      <c r="C3" s="3">
        <v>0</v>
      </c>
      <c r="D3" s="3">
        <v>-0.1</v>
      </c>
      <c r="E3" s="3">
        <v>-0.5</v>
      </c>
      <c r="F3" s="3">
        <v>0.9</v>
      </c>
      <c r="G3" s="3">
        <v>1</v>
      </c>
      <c r="K3" s="1">
        <v>2</v>
      </c>
      <c r="L3" s="1">
        <f t="shared" ref="L3:L4" si="0">COUNTIF($L$10:$L$135,A3)</f>
        <v>60</v>
      </c>
    </row>
    <row r="4" spans="1:12">
      <c r="A4" s="13">
        <v>3</v>
      </c>
      <c r="B4" s="9">
        <v>21</v>
      </c>
      <c r="C4" s="3">
        <v>0</v>
      </c>
      <c r="D4" s="3">
        <v>0.6</v>
      </c>
      <c r="E4" s="3">
        <v>0.3</v>
      </c>
      <c r="F4" s="3">
        <v>-1</v>
      </c>
      <c r="G4" s="3">
        <v>1</v>
      </c>
      <c r="K4" s="1">
        <v>3</v>
      </c>
      <c r="L4" s="1">
        <f t="shared" si="0"/>
        <v>23</v>
      </c>
    </row>
    <row r="8" spans="1:12"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0</v>
      </c>
      <c r="I10" s="1">
        <f>SQRT((($C10-$C$3)^2)+(($D10-$D$3)^2)+(($E10-$E$3)^2)+(($F10-$F$3)^2)+(($G10-$G$3)^2))</f>
        <v>1.9519221295943134</v>
      </c>
      <c r="J10" s="1">
        <f>SQRT((($C10-$C$4)^2)+(($D10-$D$4)^2)+(($E10-$E$4)^2)+(($F10-$F$4)^2)+(($G10-$G$4)^2))</f>
        <v>1.4866068747318506</v>
      </c>
      <c r="K10" s="1">
        <f>MIN(H10:J10)</f>
        <v>0</v>
      </c>
      <c r="L10" s="1">
        <f>IF(K10=J10, $J$9, IF(K10=I10, $I$9, IF(K10=H10, $H$9)))</f>
        <v>1</v>
      </c>
    </row>
    <row r="11" spans="1:12"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1.9519221295943134</v>
      </c>
      <c r="I11" s="1">
        <f t="shared" ref="I11:I74" si="2">SQRT((($C11-$C$3)^2)+(($D11-$D$3)^2)+(($E11-$E$3)^2)+(($F11-$F$3)^2)+(($G11-$G$3)^2))</f>
        <v>0</v>
      </c>
      <c r="J11" s="1">
        <f t="shared" ref="J11:J74" si="3">SQRT((($C11-$C$4)^2)+(($D11-$D$4)^2)+(($E11-$E$4)^2)+(($F11-$F$4)^2)+(($G11-$G$4)^2))</f>
        <v>2.1771541057077242</v>
      </c>
      <c r="K11" s="1">
        <f t="shared" ref="K11:K74" si="4">MIN(H11:J11)</f>
        <v>0</v>
      </c>
      <c r="L11" s="1">
        <f t="shared" ref="L11:L74" si="5">IF(K11=J11, $J$9, IF(K11=I11, $I$9, IF(K11=H11, $H$9)))</f>
        <v>2</v>
      </c>
    </row>
    <row r="12" spans="1:12"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1.9</v>
      </c>
      <c r="I12" s="1">
        <f t="shared" si="2"/>
        <v>0.44721359549995793</v>
      </c>
      <c r="J12" s="1">
        <f t="shared" si="3"/>
        <v>2.4124676163629637</v>
      </c>
      <c r="K12" s="1">
        <f t="shared" si="4"/>
        <v>0.44721359549995793</v>
      </c>
      <c r="L12" s="1">
        <f t="shared" si="5"/>
        <v>2</v>
      </c>
    </row>
    <row r="13" spans="1:12"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1.9519221295943134</v>
      </c>
      <c r="I13" s="1">
        <f t="shared" si="2"/>
        <v>0</v>
      </c>
      <c r="J13" s="1">
        <f t="shared" si="3"/>
        <v>2.1771541057077242</v>
      </c>
      <c r="K13" s="1">
        <f t="shared" si="4"/>
        <v>0</v>
      </c>
      <c r="L13" s="1">
        <f t="shared" si="5"/>
        <v>2</v>
      </c>
    </row>
    <row r="14" spans="1:12"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1.9</v>
      </c>
      <c r="I14" s="1">
        <f t="shared" si="2"/>
        <v>0.44721359549995793</v>
      </c>
      <c r="J14" s="1">
        <f t="shared" si="3"/>
        <v>2.4124676163629637</v>
      </c>
      <c r="K14" s="1">
        <f t="shared" si="4"/>
        <v>0.44721359549995793</v>
      </c>
      <c r="L14" s="1">
        <f t="shared" si="5"/>
        <v>2</v>
      </c>
    </row>
    <row r="15" spans="1:12"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0.5</v>
      </c>
      <c r="I15" s="1">
        <f t="shared" si="2"/>
        <v>1.9026297590440446</v>
      </c>
      <c r="J15" s="1">
        <f t="shared" si="3"/>
        <v>0.98994949366116647</v>
      </c>
      <c r="K15" s="1">
        <f t="shared" si="4"/>
        <v>0.5</v>
      </c>
      <c r="L15" s="1">
        <f t="shared" si="5"/>
        <v>1</v>
      </c>
    </row>
    <row r="16" spans="1:12"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0.5</v>
      </c>
      <c r="I16" s="1">
        <f t="shared" si="2"/>
        <v>1.9026297590440446</v>
      </c>
      <c r="J16" s="1">
        <f t="shared" si="3"/>
        <v>0.98994949366116647</v>
      </c>
      <c r="K16" s="1">
        <f t="shared" si="4"/>
        <v>0.5</v>
      </c>
      <c r="L16" s="1">
        <f t="shared" si="5"/>
        <v>1</v>
      </c>
    </row>
    <row r="17" spans="2:12"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1.9</v>
      </c>
      <c r="I17" s="1">
        <f t="shared" si="2"/>
        <v>0.44721359549995793</v>
      </c>
      <c r="J17" s="1">
        <f t="shared" si="3"/>
        <v>2.4124676163629637</v>
      </c>
      <c r="K17" s="1">
        <f t="shared" si="4"/>
        <v>0.44721359549995793</v>
      </c>
      <c r="L17" s="1">
        <f t="shared" si="5"/>
        <v>2</v>
      </c>
    </row>
    <row r="18" spans="2:12"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1.9</v>
      </c>
      <c r="I18" s="1">
        <f>SQRT((($C18-$C$3)^2)+(($D18-$D$3)^2)+(($E18-$E$3)^2)+(($F18-$F$3)^2)+(($G18-$G$3)^2))</f>
        <v>0.44721359549995793</v>
      </c>
      <c r="J18" s="1">
        <f t="shared" si="3"/>
        <v>2.4124676163629637</v>
      </c>
      <c r="K18" s="1">
        <f t="shared" si="4"/>
        <v>0.44721359549995793</v>
      </c>
      <c r="L18" s="1">
        <f t="shared" si="5"/>
        <v>2</v>
      </c>
    </row>
    <row r="19" spans="2:12"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0.44721359549995793</v>
      </c>
      <c r="I19" s="1">
        <f t="shared" si="2"/>
        <v>1.9</v>
      </c>
      <c r="J19" s="1">
        <f t="shared" si="3"/>
        <v>1.063014581273465</v>
      </c>
      <c r="K19" s="1">
        <f t="shared" si="4"/>
        <v>0.44721359549995793</v>
      </c>
      <c r="L19" s="1">
        <f t="shared" si="5"/>
        <v>1</v>
      </c>
    </row>
    <row r="20" spans="2:12"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0.6403124237432849</v>
      </c>
      <c r="I20" s="1">
        <f t="shared" si="2"/>
        <v>1.9235384061671343</v>
      </c>
      <c r="J20" s="1">
        <f t="shared" si="3"/>
        <v>0.86023252670426265</v>
      </c>
      <c r="K20" s="1">
        <f t="shared" si="4"/>
        <v>0.6403124237432849</v>
      </c>
      <c r="L20" s="1">
        <f t="shared" si="5"/>
        <v>1</v>
      </c>
    </row>
    <row r="21" spans="2:12"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0.44721359549995793</v>
      </c>
      <c r="I21" s="1">
        <f t="shared" si="2"/>
        <v>1.9</v>
      </c>
      <c r="J21" s="1">
        <f t="shared" si="3"/>
        <v>1.063014581273465</v>
      </c>
      <c r="K21" s="1">
        <f t="shared" si="4"/>
        <v>0.44721359549995793</v>
      </c>
      <c r="L21" s="1">
        <f t="shared" si="5"/>
        <v>1</v>
      </c>
    </row>
    <row r="22" spans="2:12"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2.1771541057077242</v>
      </c>
      <c r="I22" s="1">
        <f t="shared" si="2"/>
        <v>0.6403124237432849</v>
      </c>
      <c r="J22" s="1">
        <f t="shared" si="3"/>
        <v>1.9467922333931784</v>
      </c>
      <c r="K22" s="1">
        <f t="shared" si="4"/>
        <v>0.6403124237432849</v>
      </c>
      <c r="L22" s="1">
        <f t="shared" si="5"/>
        <v>2</v>
      </c>
    </row>
    <row r="23" spans="2:12"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0.89442719099991586</v>
      </c>
      <c r="I23" s="1">
        <f t="shared" si="2"/>
        <v>1.9924858845171274</v>
      </c>
      <c r="J23" s="1">
        <f t="shared" si="3"/>
        <v>0.72801098892805172</v>
      </c>
      <c r="K23" s="1">
        <f t="shared" si="4"/>
        <v>0.72801098892805172</v>
      </c>
      <c r="L23" s="1">
        <f t="shared" si="5"/>
        <v>3</v>
      </c>
    </row>
    <row r="24" spans="2:12"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0</v>
      </c>
      <c r="I24" s="1">
        <f t="shared" si="2"/>
        <v>1.9519221295943134</v>
      </c>
      <c r="J24" s="1">
        <f t="shared" si="3"/>
        <v>1.4866068747318506</v>
      </c>
      <c r="K24" s="1">
        <f t="shared" si="4"/>
        <v>0</v>
      </c>
      <c r="L24" s="1">
        <f t="shared" si="5"/>
        <v>1</v>
      </c>
    </row>
    <row r="25" spans="2:12"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1.9519221295943134</v>
      </c>
      <c r="I25" s="1">
        <f t="shared" si="2"/>
        <v>0</v>
      </c>
      <c r="J25" s="1">
        <f t="shared" si="3"/>
        <v>2.1771541057077242</v>
      </c>
      <c r="K25" s="1">
        <f t="shared" si="4"/>
        <v>0</v>
      </c>
      <c r="L25" s="1">
        <f t="shared" si="5"/>
        <v>2</v>
      </c>
    </row>
    <row r="26" spans="2:12"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1.9</v>
      </c>
      <c r="I26" s="1">
        <f t="shared" si="2"/>
        <v>0.44721359549995793</v>
      </c>
      <c r="J26" s="1">
        <f t="shared" si="3"/>
        <v>2.4124676163629637</v>
      </c>
      <c r="K26" s="1">
        <f t="shared" si="4"/>
        <v>0.44721359549995793</v>
      </c>
      <c r="L26" s="1">
        <f t="shared" si="5"/>
        <v>2</v>
      </c>
    </row>
    <row r="27" spans="2:12"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0</v>
      </c>
      <c r="I27" s="1">
        <f t="shared" si="2"/>
        <v>1.9519221295943134</v>
      </c>
      <c r="J27" s="1">
        <f t="shared" si="3"/>
        <v>1.4866068747318506</v>
      </c>
      <c r="K27" s="1">
        <f t="shared" si="4"/>
        <v>0</v>
      </c>
      <c r="L27" s="1">
        <f t="shared" si="5"/>
        <v>1</v>
      </c>
    </row>
    <row r="28" spans="2:12"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0</v>
      </c>
      <c r="I28" s="1">
        <f t="shared" si="2"/>
        <v>1.9519221295943134</v>
      </c>
      <c r="J28" s="1">
        <f t="shared" si="3"/>
        <v>1.4866068747318506</v>
      </c>
      <c r="K28" s="1">
        <f t="shared" si="4"/>
        <v>0</v>
      </c>
      <c r="L28" s="1">
        <f t="shared" si="5"/>
        <v>1</v>
      </c>
    </row>
    <row r="29" spans="2:12"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1.9</v>
      </c>
      <c r="I29" s="1">
        <f t="shared" si="2"/>
        <v>0.44721359549995793</v>
      </c>
      <c r="J29" s="1">
        <f t="shared" si="3"/>
        <v>2.4124676163629637</v>
      </c>
      <c r="K29" s="1">
        <f t="shared" si="4"/>
        <v>0.44721359549995793</v>
      </c>
      <c r="L29" s="1">
        <f t="shared" si="5"/>
        <v>2</v>
      </c>
    </row>
    <row r="30" spans="2:12"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1.4866068747318506</v>
      </c>
      <c r="I30" s="1">
        <f t="shared" si="2"/>
        <v>2.1771541057077242</v>
      </c>
      <c r="J30" s="1">
        <f t="shared" si="3"/>
        <v>0</v>
      </c>
      <c r="K30" s="1">
        <f t="shared" si="4"/>
        <v>0</v>
      </c>
      <c r="L30" s="1">
        <f t="shared" si="5"/>
        <v>3</v>
      </c>
    </row>
    <row r="31" spans="2:12"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1.9</v>
      </c>
      <c r="I31" s="1">
        <f t="shared" si="2"/>
        <v>0.44721359549995793</v>
      </c>
      <c r="J31" s="1">
        <f t="shared" si="3"/>
        <v>2.4124676163629637</v>
      </c>
      <c r="K31" s="1">
        <f t="shared" si="4"/>
        <v>0.44721359549995793</v>
      </c>
      <c r="L31" s="1">
        <f t="shared" si="5"/>
        <v>2</v>
      </c>
    </row>
    <row r="32" spans="2:12"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1.9</v>
      </c>
      <c r="I32" s="1">
        <f t="shared" si="2"/>
        <v>0.44721359549995793</v>
      </c>
      <c r="J32" s="1">
        <f t="shared" si="3"/>
        <v>2.4124676163629637</v>
      </c>
      <c r="K32" s="1">
        <f t="shared" si="4"/>
        <v>0.44721359549995793</v>
      </c>
      <c r="L32" s="1">
        <f t="shared" si="5"/>
        <v>2</v>
      </c>
    </row>
    <row r="33" spans="2:12"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0.44721359549995793</v>
      </c>
      <c r="I33" s="1">
        <f t="shared" si="2"/>
        <v>1.9</v>
      </c>
      <c r="J33" s="1">
        <f t="shared" si="3"/>
        <v>1.063014581273465</v>
      </c>
      <c r="K33" s="1">
        <f t="shared" si="4"/>
        <v>0.44721359549995793</v>
      </c>
      <c r="L33" s="1">
        <f t="shared" si="5"/>
        <v>1</v>
      </c>
    </row>
    <row r="34" spans="2:12"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2.1954498400100149</v>
      </c>
      <c r="I34" s="1">
        <f t="shared" si="2"/>
        <v>0.98488578017961048</v>
      </c>
      <c r="J34" s="1">
        <f t="shared" si="3"/>
        <v>2.1977260975835913</v>
      </c>
      <c r="K34" s="1">
        <f t="shared" si="4"/>
        <v>0.98488578017961048</v>
      </c>
      <c r="L34" s="1">
        <f t="shared" si="5"/>
        <v>2</v>
      </c>
    </row>
    <row r="35" spans="2:12"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2.4124676163629637</v>
      </c>
      <c r="I35" s="1">
        <f t="shared" si="2"/>
        <v>1.4035668847618201</v>
      </c>
      <c r="J35" s="1">
        <f t="shared" si="3"/>
        <v>2.414539293529927</v>
      </c>
      <c r="K35" s="1">
        <f t="shared" si="4"/>
        <v>1.4035668847618201</v>
      </c>
      <c r="L35" s="1">
        <f t="shared" si="5"/>
        <v>2</v>
      </c>
    </row>
    <row r="36" spans="2:12"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2.5416530054277668</v>
      </c>
      <c r="I36" s="1">
        <f t="shared" si="2"/>
        <v>1.4866068747318506</v>
      </c>
      <c r="J36" s="1">
        <f t="shared" si="3"/>
        <v>2.2781571499789033</v>
      </c>
      <c r="K36" s="1">
        <f t="shared" si="4"/>
        <v>1.4866068747318506</v>
      </c>
      <c r="L36" s="1">
        <f t="shared" si="5"/>
        <v>2</v>
      </c>
    </row>
    <row r="37" spans="2:12"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</v>
      </c>
      <c r="I37" s="1">
        <f t="shared" si="2"/>
        <v>2.1931712199461311</v>
      </c>
      <c r="J37" s="1">
        <f t="shared" si="3"/>
        <v>1.7916472867168918</v>
      </c>
      <c r="K37" s="1">
        <f t="shared" si="4"/>
        <v>1</v>
      </c>
      <c r="L37" s="1">
        <f t="shared" si="5"/>
        <v>1</v>
      </c>
    </row>
    <row r="38" spans="2:12"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2.4124676163629637</v>
      </c>
      <c r="I38" s="1">
        <f t="shared" si="2"/>
        <v>1.4035668847618201</v>
      </c>
      <c r="J38" s="1">
        <f t="shared" si="3"/>
        <v>2.414539293529927</v>
      </c>
      <c r="K38" s="1">
        <f t="shared" si="4"/>
        <v>1.4035668847618201</v>
      </c>
      <c r="L38" s="1">
        <f t="shared" si="5"/>
        <v>2</v>
      </c>
    </row>
    <row r="39" spans="2:12"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1.3416407864998738</v>
      </c>
      <c r="I39" s="1">
        <f t="shared" si="2"/>
        <v>2.2293496809607953</v>
      </c>
      <c r="J39" s="1">
        <f t="shared" si="3"/>
        <v>1.236931687685298</v>
      </c>
      <c r="K39" s="1">
        <f t="shared" si="4"/>
        <v>1.236931687685298</v>
      </c>
      <c r="L39" s="1">
        <f t="shared" si="5"/>
        <v>3</v>
      </c>
    </row>
    <row r="40" spans="2:12"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2.2045407685048604</v>
      </c>
      <c r="I40" s="1">
        <f t="shared" si="2"/>
        <v>1.004987562112089</v>
      </c>
      <c r="J40" s="1">
        <f t="shared" si="3"/>
        <v>2.3643180835073778</v>
      </c>
      <c r="K40" s="1">
        <f t="shared" si="4"/>
        <v>1.004987562112089</v>
      </c>
      <c r="L40" s="1">
        <f t="shared" si="5"/>
        <v>2</v>
      </c>
    </row>
    <row r="41" spans="2:12"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2.4124676163629637</v>
      </c>
      <c r="I41" s="1">
        <f t="shared" si="2"/>
        <v>1.4035668847618201</v>
      </c>
      <c r="J41" s="1">
        <f t="shared" si="3"/>
        <v>2.414539293529927</v>
      </c>
      <c r="K41" s="1">
        <f t="shared" si="4"/>
        <v>1.4035668847618201</v>
      </c>
      <c r="L41" s="1">
        <f t="shared" si="5"/>
        <v>2</v>
      </c>
    </row>
    <row r="42" spans="2:12"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2.4124676163629637</v>
      </c>
      <c r="I42" s="1">
        <f t="shared" si="2"/>
        <v>1.4035668847618201</v>
      </c>
      <c r="J42" s="1">
        <f t="shared" si="3"/>
        <v>2.414539293529927</v>
      </c>
      <c r="K42" s="1">
        <f t="shared" si="4"/>
        <v>1.4035668847618201</v>
      </c>
      <c r="L42" s="1">
        <f t="shared" si="5"/>
        <v>2</v>
      </c>
    </row>
    <row r="43" spans="2:12"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2.1931712199461311</v>
      </c>
      <c r="I43" s="1">
        <f t="shared" si="2"/>
        <v>1</v>
      </c>
      <c r="J43" s="1">
        <f t="shared" si="3"/>
        <v>2.3958297101421877</v>
      </c>
      <c r="K43" s="1">
        <f t="shared" si="4"/>
        <v>1</v>
      </c>
      <c r="L43" s="1">
        <f t="shared" si="5"/>
        <v>2</v>
      </c>
    </row>
    <row r="44" spans="2:12"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2.1470910553583886</v>
      </c>
      <c r="I44" s="1">
        <f t="shared" si="2"/>
        <v>1.0954451150103321</v>
      </c>
      <c r="J44" s="1">
        <f t="shared" si="3"/>
        <v>2.6115129714401193</v>
      </c>
      <c r="K44" s="1">
        <f t="shared" si="4"/>
        <v>1.0954451150103321</v>
      </c>
      <c r="L44" s="1">
        <f t="shared" si="5"/>
        <v>2</v>
      </c>
    </row>
    <row r="45" spans="2:12"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2.3259406699226015</v>
      </c>
      <c r="I45" s="1">
        <f t="shared" si="2"/>
        <v>1.16619037896906</v>
      </c>
      <c r="J45" s="1">
        <f t="shared" si="3"/>
        <v>2.2671568097509267</v>
      </c>
      <c r="K45" s="1">
        <f t="shared" si="4"/>
        <v>1.16619037896906</v>
      </c>
      <c r="L45" s="1">
        <f t="shared" si="5"/>
        <v>2</v>
      </c>
    </row>
    <row r="46" spans="2:12"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1.0954451150103321</v>
      </c>
      <c r="I46" s="1">
        <f t="shared" si="2"/>
        <v>2.1470910553583886</v>
      </c>
      <c r="J46" s="1">
        <f t="shared" si="3"/>
        <v>1.4594519519326423</v>
      </c>
      <c r="K46" s="1">
        <f t="shared" si="4"/>
        <v>1.0954451150103321</v>
      </c>
      <c r="L46" s="1">
        <f t="shared" si="5"/>
        <v>1</v>
      </c>
    </row>
    <row r="47" spans="2:12"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1.7663521732655694</v>
      </c>
      <c r="I47" s="1">
        <f t="shared" si="2"/>
        <v>2.4596747752497685</v>
      </c>
      <c r="J47" s="1">
        <f t="shared" si="3"/>
        <v>1.2845232578665129</v>
      </c>
      <c r="K47" s="1">
        <f t="shared" si="4"/>
        <v>1.2845232578665129</v>
      </c>
      <c r="L47" s="1">
        <f t="shared" si="5"/>
        <v>3</v>
      </c>
    </row>
    <row r="48" spans="2:12"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1.3416407864998738</v>
      </c>
      <c r="I48" s="1">
        <f t="shared" si="2"/>
        <v>2.2293496809607953</v>
      </c>
      <c r="J48" s="1">
        <f t="shared" si="3"/>
        <v>1.236931687685298</v>
      </c>
      <c r="K48" s="1">
        <f t="shared" si="4"/>
        <v>1.236931687685298</v>
      </c>
      <c r="L48" s="1">
        <f t="shared" si="5"/>
        <v>3</v>
      </c>
    </row>
    <row r="49" spans="2:12"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2.4103941586387903</v>
      </c>
      <c r="I49" s="1">
        <f t="shared" si="2"/>
        <v>2.7892651361962706</v>
      </c>
      <c r="J49" s="1">
        <f t="shared" si="3"/>
        <v>1.2328828005937953</v>
      </c>
      <c r="K49" s="1">
        <f t="shared" si="4"/>
        <v>1.2328828005937953</v>
      </c>
      <c r="L49" s="1">
        <f t="shared" si="5"/>
        <v>3</v>
      </c>
    </row>
    <row r="50" spans="2:12"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1.7663521732655694</v>
      </c>
      <c r="I50" s="1">
        <f t="shared" si="2"/>
        <v>2.4596747752497685</v>
      </c>
      <c r="J50" s="1">
        <f t="shared" si="3"/>
        <v>1.2845232578665129</v>
      </c>
      <c r="K50" s="1">
        <f t="shared" si="4"/>
        <v>1.2845232578665129</v>
      </c>
      <c r="L50" s="1">
        <f t="shared" si="5"/>
        <v>3</v>
      </c>
    </row>
    <row r="51" spans="2:12"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2.2045407685048604</v>
      </c>
      <c r="I51" s="1">
        <f t="shared" si="2"/>
        <v>1.004987562112089</v>
      </c>
      <c r="J51" s="1">
        <f t="shared" si="3"/>
        <v>2.3643180835073778</v>
      </c>
      <c r="K51" s="1">
        <f t="shared" si="4"/>
        <v>1.004987562112089</v>
      </c>
      <c r="L51" s="1">
        <f t="shared" si="5"/>
        <v>2</v>
      </c>
    </row>
    <row r="52" spans="2:12"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2.1470910553583886</v>
      </c>
      <c r="I52" s="1">
        <f t="shared" si="2"/>
        <v>1.0954451150103321</v>
      </c>
      <c r="J52" s="1">
        <f t="shared" si="3"/>
        <v>2.6115129714401193</v>
      </c>
      <c r="K52" s="1">
        <f t="shared" si="4"/>
        <v>1.0954451150103321</v>
      </c>
      <c r="L52" s="1">
        <f t="shared" si="5"/>
        <v>2</v>
      </c>
    </row>
    <row r="53" spans="2:12"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1.7663521732655694</v>
      </c>
      <c r="I53" s="1">
        <f t="shared" si="2"/>
        <v>2.4596747752497685</v>
      </c>
      <c r="J53" s="1">
        <f t="shared" si="3"/>
        <v>1.2845232578665129</v>
      </c>
      <c r="K53" s="1">
        <f t="shared" si="4"/>
        <v>1.2845232578665129</v>
      </c>
      <c r="L53" s="1">
        <f t="shared" si="5"/>
        <v>3</v>
      </c>
    </row>
    <row r="54" spans="2:12"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2.7946377224964243</v>
      </c>
      <c r="I54" s="1">
        <f t="shared" si="2"/>
        <v>2</v>
      </c>
      <c r="J54" s="1">
        <f t="shared" si="3"/>
        <v>2.9563490998188966</v>
      </c>
      <c r="K54" s="1">
        <f t="shared" si="4"/>
        <v>2</v>
      </c>
      <c r="L54" s="1">
        <f t="shared" si="5"/>
        <v>2</v>
      </c>
    </row>
    <row r="55" spans="2:12"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2</v>
      </c>
      <c r="I55" s="1">
        <f t="shared" si="2"/>
        <v>2.7946377224964243</v>
      </c>
      <c r="J55" s="1">
        <f t="shared" si="3"/>
        <v>2.4919871588754225</v>
      </c>
      <c r="K55" s="1">
        <f t="shared" si="4"/>
        <v>2</v>
      </c>
      <c r="L55" s="1">
        <f t="shared" si="5"/>
        <v>1</v>
      </c>
    </row>
    <row r="56" spans="2:12"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2</v>
      </c>
      <c r="I56" s="1">
        <f t="shared" si="2"/>
        <v>2.7946377224964243</v>
      </c>
      <c r="J56" s="1">
        <f t="shared" si="3"/>
        <v>2.4919871588754225</v>
      </c>
      <c r="K56" s="1">
        <f t="shared" si="4"/>
        <v>2</v>
      </c>
      <c r="L56" s="1">
        <f t="shared" si="5"/>
        <v>1</v>
      </c>
    </row>
    <row r="57" spans="2:12"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3.2939338184001206</v>
      </c>
      <c r="I57" s="1">
        <f t="shared" si="2"/>
        <v>2.5922962793631443</v>
      </c>
      <c r="J57" s="1">
        <f t="shared" si="3"/>
        <v>3.0757112998459397</v>
      </c>
      <c r="K57" s="1">
        <f t="shared" si="4"/>
        <v>2.5922962793631443</v>
      </c>
      <c r="L57" s="1">
        <f t="shared" si="5"/>
        <v>2</v>
      </c>
    </row>
    <row r="58" spans="2:12"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2.0615528128088303</v>
      </c>
      <c r="I58" s="1">
        <f t="shared" si="2"/>
        <v>2.7604347483684522</v>
      </c>
      <c r="J58" s="1">
        <f t="shared" si="3"/>
        <v>2.2315913604421396</v>
      </c>
      <c r="K58" s="1">
        <f t="shared" si="4"/>
        <v>2.0615528128088303</v>
      </c>
      <c r="L58" s="1">
        <f t="shared" si="5"/>
        <v>1</v>
      </c>
    </row>
    <row r="59" spans="2:12"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2.4738633753705961</v>
      </c>
      <c r="I59" s="1">
        <f t="shared" si="2"/>
        <v>3.0083217912982647</v>
      </c>
      <c r="J59" s="1">
        <f t="shared" si="3"/>
        <v>2.1563858652847827</v>
      </c>
      <c r="K59" s="1">
        <f t="shared" si="4"/>
        <v>2.1563858652847827</v>
      </c>
      <c r="L59" s="1">
        <f t="shared" si="5"/>
        <v>3</v>
      </c>
    </row>
    <row r="60" spans="2:12"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3.3496268448888449</v>
      </c>
      <c r="I60" s="1">
        <f t="shared" si="2"/>
        <v>2.6551836094703507</v>
      </c>
      <c r="J60" s="1">
        <f t="shared" si="3"/>
        <v>3.1032241298365801</v>
      </c>
      <c r="K60" s="1">
        <f t="shared" si="4"/>
        <v>2.6551836094703507</v>
      </c>
      <c r="L60" s="1">
        <f t="shared" si="5"/>
        <v>2</v>
      </c>
    </row>
    <row r="61" spans="2:12"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2.2825424421026654</v>
      </c>
      <c r="I61" s="1">
        <f t="shared" si="2"/>
        <v>2.9291637031753619</v>
      </c>
      <c r="J61" s="1">
        <f t="shared" si="3"/>
        <v>2.2847319317591728</v>
      </c>
      <c r="K61" s="1">
        <f t="shared" si="4"/>
        <v>2.2825424421026654</v>
      </c>
      <c r="L61" s="1">
        <f t="shared" si="5"/>
        <v>1</v>
      </c>
    </row>
    <row r="62" spans="2:12"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2.758622844826744</v>
      </c>
      <c r="I62" s="1">
        <f t="shared" si="2"/>
        <v>2.0493901531919199</v>
      </c>
      <c r="J62" s="1">
        <f t="shared" si="3"/>
        <v>3.1336879231984796</v>
      </c>
      <c r="K62" s="1">
        <f t="shared" si="4"/>
        <v>2.0493901531919199</v>
      </c>
      <c r="L62" s="1">
        <f t="shared" si="5"/>
        <v>2</v>
      </c>
    </row>
    <row r="63" spans="2:12"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2.758622844826744</v>
      </c>
      <c r="I63" s="1">
        <f t="shared" si="2"/>
        <v>2.0493901531919199</v>
      </c>
      <c r="J63" s="1">
        <f t="shared" si="3"/>
        <v>3.1336879231984796</v>
      </c>
      <c r="K63" s="1">
        <f t="shared" si="4"/>
        <v>2.0493901531919199</v>
      </c>
      <c r="L63" s="1">
        <f t="shared" si="5"/>
        <v>2</v>
      </c>
    </row>
    <row r="64" spans="2:12"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2.8319604517012591</v>
      </c>
      <c r="I64" s="1">
        <f t="shared" si="2"/>
        <v>2.0223748416156684</v>
      </c>
      <c r="J64" s="1">
        <f t="shared" si="3"/>
        <v>2.8896366553599777</v>
      </c>
      <c r="K64" s="1">
        <f t="shared" si="4"/>
        <v>2.0223748416156684</v>
      </c>
      <c r="L64" s="1">
        <f t="shared" si="5"/>
        <v>2</v>
      </c>
    </row>
    <row r="65" spans="2:12"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2.8319604517012591</v>
      </c>
      <c r="I65" s="1">
        <f t="shared" si="2"/>
        <v>2.0223748416156684</v>
      </c>
      <c r="J65" s="1">
        <f t="shared" si="3"/>
        <v>2.8896366553599777</v>
      </c>
      <c r="K65" s="1">
        <f t="shared" si="4"/>
        <v>2.0223748416156684</v>
      </c>
      <c r="L65" s="1">
        <f t="shared" si="5"/>
        <v>2</v>
      </c>
    </row>
    <row r="66" spans="2:12"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2.803569153775237</v>
      </c>
      <c r="I66" s="1">
        <f t="shared" si="2"/>
        <v>2.0024984394500787</v>
      </c>
      <c r="J66" s="1">
        <f t="shared" si="3"/>
        <v>2.930870177950569</v>
      </c>
      <c r="K66" s="1">
        <f t="shared" si="4"/>
        <v>2.0024984394500787</v>
      </c>
      <c r="L66" s="1">
        <f t="shared" si="5"/>
        <v>2</v>
      </c>
    </row>
    <row r="67" spans="2:12"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2.1</v>
      </c>
      <c r="I67" s="1">
        <f t="shared" si="2"/>
        <v>2.7748873851023212</v>
      </c>
      <c r="J67" s="1">
        <f t="shared" si="3"/>
        <v>2.1771541057077242</v>
      </c>
      <c r="K67" s="1">
        <f t="shared" si="4"/>
        <v>2.1</v>
      </c>
      <c r="L67" s="1">
        <f t="shared" si="5"/>
        <v>1</v>
      </c>
    </row>
    <row r="68" spans="2:12"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2.7946377224964243</v>
      </c>
      <c r="I68" s="1">
        <f t="shared" si="2"/>
        <v>2</v>
      </c>
      <c r="J68" s="1">
        <f t="shared" si="3"/>
        <v>2.9563490998188966</v>
      </c>
      <c r="K68" s="1">
        <f t="shared" si="4"/>
        <v>2</v>
      </c>
      <c r="L68" s="1">
        <f t="shared" si="5"/>
        <v>2</v>
      </c>
    </row>
    <row r="69" spans="2:12"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2.7946377224964243</v>
      </c>
      <c r="I69" s="1">
        <f t="shared" si="2"/>
        <v>2</v>
      </c>
      <c r="J69" s="1">
        <f t="shared" si="3"/>
        <v>2.9563490998188966</v>
      </c>
      <c r="K69" s="1">
        <f t="shared" si="4"/>
        <v>2</v>
      </c>
      <c r="L69" s="1">
        <f t="shared" si="5"/>
        <v>2</v>
      </c>
    </row>
    <row r="70" spans="2:12"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2</v>
      </c>
      <c r="I70" s="1">
        <f t="shared" si="2"/>
        <v>2.7946377224964243</v>
      </c>
      <c r="J70" s="1">
        <f t="shared" si="3"/>
        <v>2.4919871588754225</v>
      </c>
      <c r="K70" s="1">
        <f t="shared" si="4"/>
        <v>2</v>
      </c>
      <c r="L70" s="1">
        <f t="shared" si="5"/>
        <v>1</v>
      </c>
    </row>
    <row r="71" spans="2:12"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2.758622844826744</v>
      </c>
      <c r="I71" s="1">
        <f t="shared" si="2"/>
        <v>2.0493901531919199</v>
      </c>
      <c r="J71" s="1">
        <f t="shared" si="3"/>
        <v>3.1336879231984796</v>
      </c>
      <c r="K71" s="1">
        <f t="shared" si="4"/>
        <v>2.0493901531919199</v>
      </c>
      <c r="L71" s="1">
        <f t="shared" si="5"/>
        <v>2</v>
      </c>
    </row>
    <row r="72" spans="2:12"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2.758622844826744</v>
      </c>
      <c r="I72" s="1">
        <f t="shared" si="2"/>
        <v>2.0493901531919199</v>
      </c>
      <c r="J72" s="1">
        <f t="shared" si="3"/>
        <v>3.1336879231984796</v>
      </c>
      <c r="K72" s="1">
        <f t="shared" si="4"/>
        <v>2.0493901531919199</v>
      </c>
      <c r="L72" s="1">
        <f t="shared" si="5"/>
        <v>2</v>
      </c>
    </row>
    <row r="73" spans="2:12"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3.4669871646719428</v>
      </c>
      <c r="I73" s="1">
        <f t="shared" si="2"/>
        <v>3.6701498607005134</v>
      </c>
      <c r="J73" s="1">
        <f t="shared" si="3"/>
        <v>2.4186773244895647</v>
      </c>
      <c r="K73" s="1">
        <f t="shared" si="4"/>
        <v>2.4186773244895647</v>
      </c>
      <c r="L73" s="1">
        <f t="shared" si="5"/>
        <v>3</v>
      </c>
    </row>
    <row r="74" spans="2:12"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3.7589892258425004</v>
      </c>
      <c r="I74" s="1">
        <f t="shared" si="2"/>
        <v>3.9012818406262322</v>
      </c>
      <c r="J74" s="1">
        <f t="shared" si="3"/>
        <v>2.6229754097208002</v>
      </c>
      <c r="K74" s="1">
        <f t="shared" si="4"/>
        <v>2.6229754097208002</v>
      </c>
      <c r="L74" s="1">
        <f t="shared" si="5"/>
        <v>3</v>
      </c>
    </row>
    <row r="75" spans="2:12"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2</v>
      </c>
      <c r="I75" s="1">
        <f t="shared" ref="I75:I135" si="7">SQRT((($C75-$C$3)^2)+(($D75-$D$3)^2)+(($E75-$E$3)^2)+(($F75-$F$3)^2)+(($G75-$G$3)^2))</f>
        <v>2.7946377224964243</v>
      </c>
      <c r="J75" s="1">
        <f t="shared" ref="J75:J135" si="8">SQRT((($C75-$C$4)^2)+(($D75-$D$4)^2)+(($E75-$E$4)^2)+(($F75-$F$4)^2)+(($G75-$G$4)^2))</f>
        <v>2.4919871588754225</v>
      </c>
      <c r="K75" s="1">
        <f t="shared" ref="K75:K135" si="9">MIN(H75:J75)</f>
        <v>2</v>
      </c>
      <c r="L75" s="1">
        <f t="shared" ref="L75:L135" si="10">IF(K75=J75, $J$9, IF(K75=I75, $I$9, IF(K75=H75, $H$9)))</f>
        <v>1</v>
      </c>
    </row>
    <row r="76" spans="2:12"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2.758622844826744</v>
      </c>
      <c r="I76" s="1">
        <f t="shared" si="7"/>
        <v>2.0493901531919199</v>
      </c>
      <c r="J76" s="1">
        <f t="shared" si="8"/>
        <v>3.1336879231984796</v>
      </c>
      <c r="K76" s="1">
        <f t="shared" si="9"/>
        <v>2.0493901531919199</v>
      </c>
      <c r="L76" s="1">
        <f t="shared" si="10"/>
        <v>2</v>
      </c>
    </row>
    <row r="77" spans="2:12"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2.758622844826744</v>
      </c>
      <c r="I77" s="1">
        <f t="shared" si="7"/>
        <v>2.0493901531919199</v>
      </c>
      <c r="J77" s="1">
        <f t="shared" si="8"/>
        <v>3.1336879231984796</v>
      </c>
      <c r="K77" s="1">
        <f t="shared" si="9"/>
        <v>2.0493901531919199</v>
      </c>
      <c r="L77" s="1">
        <f t="shared" si="10"/>
        <v>2</v>
      </c>
    </row>
    <row r="78" spans="2:12"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3.2939338184001206</v>
      </c>
      <c r="I78" s="1">
        <f t="shared" si="7"/>
        <v>2.5922962793631443</v>
      </c>
      <c r="J78" s="1">
        <f t="shared" si="8"/>
        <v>3.0757112998459397</v>
      </c>
      <c r="K78" s="1">
        <f t="shared" si="9"/>
        <v>2.5922962793631443</v>
      </c>
      <c r="L78" s="1">
        <f t="shared" si="10"/>
        <v>2</v>
      </c>
    </row>
    <row r="79" spans="2:12"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2</v>
      </c>
      <c r="I79" s="1">
        <f t="shared" si="7"/>
        <v>2.7946377224964243</v>
      </c>
      <c r="J79" s="1">
        <f t="shared" si="8"/>
        <v>2.4919871588754225</v>
      </c>
      <c r="K79" s="1">
        <f t="shared" si="9"/>
        <v>2</v>
      </c>
      <c r="L79" s="1">
        <f t="shared" si="10"/>
        <v>1</v>
      </c>
    </row>
    <row r="80" spans="2:12"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3.0757112998459397</v>
      </c>
      <c r="I80" s="1">
        <f t="shared" si="7"/>
        <v>2.2825424421026654</v>
      </c>
      <c r="J80" s="1">
        <f t="shared" si="8"/>
        <v>2.8618176042508368</v>
      </c>
      <c r="K80" s="1">
        <f t="shared" si="9"/>
        <v>2.2825424421026654</v>
      </c>
      <c r="L80" s="1">
        <f t="shared" si="10"/>
        <v>2</v>
      </c>
    </row>
    <row r="81" spans="2:12"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3.1192947920964444</v>
      </c>
      <c r="I81" s="1">
        <f t="shared" si="7"/>
        <v>2.3323807579381199</v>
      </c>
      <c r="J81" s="1">
        <f t="shared" si="8"/>
        <v>2.8740215726399829</v>
      </c>
      <c r="K81" s="1">
        <f t="shared" si="9"/>
        <v>2.3323807579381199</v>
      </c>
      <c r="L81" s="1">
        <f t="shared" si="10"/>
        <v>2</v>
      </c>
    </row>
    <row r="82" spans="2:12"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2</v>
      </c>
      <c r="I82" s="1">
        <f t="shared" si="7"/>
        <v>2.7946377224964243</v>
      </c>
      <c r="J82" s="1">
        <f t="shared" si="8"/>
        <v>2.4919871588754225</v>
      </c>
      <c r="K82" s="1">
        <f t="shared" si="9"/>
        <v>2</v>
      </c>
      <c r="L82" s="1">
        <f t="shared" si="10"/>
        <v>1</v>
      </c>
    </row>
    <row r="83" spans="2:12"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2.803569153775237</v>
      </c>
      <c r="I83" s="1">
        <f t="shared" si="7"/>
        <v>2.0024984394500787</v>
      </c>
      <c r="J83" s="1">
        <f t="shared" si="8"/>
        <v>2.930870177950569</v>
      </c>
      <c r="K83" s="1">
        <f t="shared" si="9"/>
        <v>2.0024984394500787</v>
      </c>
      <c r="L83" s="1">
        <f t="shared" si="10"/>
        <v>2</v>
      </c>
    </row>
    <row r="84" spans="2:12"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3.5510561809129406</v>
      </c>
      <c r="I84" s="1">
        <f t="shared" si="7"/>
        <v>3.03315017762062</v>
      </c>
      <c r="J84" s="1">
        <f t="shared" si="8"/>
        <v>3.8496753109840314</v>
      </c>
      <c r="K84" s="1">
        <f t="shared" si="9"/>
        <v>3.03315017762062</v>
      </c>
      <c r="L84" s="1">
        <f t="shared" si="10"/>
        <v>2</v>
      </c>
    </row>
    <row r="85" spans="2:12"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3.03315017762062</v>
      </c>
      <c r="I85" s="1">
        <f t="shared" si="7"/>
        <v>3.5510561809129406</v>
      </c>
      <c r="J85" s="1">
        <f t="shared" si="8"/>
        <v>3.1827660925679098</v>
      </c>
      <c r="K85" s="1">
        <f t="shared" si="9"/>
        <v>3.03315017762062</v>
      </c>
      <c r="L85" s="1">
        <f t="shared" si="10"/>
        <v>1</v>
      </c>
    </row>
    <row r="86" spans="2:12"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5.0129831437977126</v>
      </c>
      <c r="I86" s="1">
        <f t="shared" si="7"/>
        <v>4.3220365569948616</v>
      </c>
      <c r="J86" s="1">
        <f t="shared" si="8"/>
        <v>4.1012193308819755</v>
      </c>
      <c r="K86" s="1">
        <f t="shared" si="9"/>
        <v>4.1012193308819755</v>
      </c>
      <c r="L86" s="1">
        <f t="shared" si="10"/>
        <v>3</v>
      </c>
    </row>
    <row r="87" spans="2:12"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3.1953090617340916</v>
      </c>
      <c r="I87" s="1">
        <f t="shared" si="7"/>
        <v>3.6851051545376556</v>
      </c>
      <c r="J87" s="1">
        <f t="shared" si="8"/>
        <v>3.1968734726291563</v>
      </c>
      <c r="K87" s="1">
        <f t="shared" si="9"/>
        <v>3.1953090617340916</v>
      </c>
      <c r="L87" s="1">
        <f t="shared" si="10"/>
        <v>1</v>
      </c>
    </row>
    <row r="88" spans="2:12"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3.03315017762062</v>
      </c>
      <c r="I88" s="1">
        <f t="shared" si="7"/>
        <v>3.5510561809129406</v>
      </c>
      <c r="J88" s="1">
        <f t="shared" si="8"/>
        <v>3.1827660925679098</v>
      </c>
      <c r="K88" s="1">
        <f t="shared" si="9"/>
        <v>3.03315017762062</v>
      </c>
      <c r="L88" s="1">
        <f t="shared" si="10"/>
        <v>1</v>
      </c>
    </row>
    <row r="89" spans="2:12"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3.0413812651491097</v>
      </c>
      <c r="I89" s="1">
        <f t="shared" si="7"/>
        <v>3.552463933666322</v>
      </c>
      <c r="J89" s="1">
        <f t="shared" si="8"/>
        <v>3.1591137997862631</v>
      </c>
      <c r="K89" s="1">
        <f t="shared" si="9"/>
        <v>3.0413812651491097</v>
      </c>
      <c r="L89" s="1">
        <f t="shared" si="10"/>
        <v>1</v>
      </c>
    </row>
    <row r="90" spans="2:12"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4.9759421218498909</v>
      </c>
      <c r="I90" s="1">
        <f t="shared" si="7"/>
        <v>5.0129831437977126</v>
      </c>
      <c r="J90" s="1">
        <f t="shared" si="8"/>
        <v>3.8948684188300895</v>
      </c>
      <c r="K90" s="1">
        <f t="shared" si="9"/>
        <v>3.8948684188300895</v>
      </c>
      <c r="L90" s="1">
        <f t="shared" si="10"/>
        <v>3</v>
      </c>
    </row>
    <row r="91" spans="2:12"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3</v>
      </c>
      <c r="I91" s="1">
        <f t="shared" si="7"/>
        <v>3.5791060336346563</v>
      </c>
      <c r="J91" s="1">
        <f t="shared" si="8"/>
        <v>3.3481338085566414</v>
      </c>
      <c r="K91" s="1">
        <f t="shared" si="9"/>
        <v>3</v>
      </c>
      <c r="L91" s="1">
        <f t="shared" si="10"/>
        <v>1</v>
      </c>
    </row>
    <row r="92" spans="2:12"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3.03315017762062</v>
      </c>
      <c r="I92" s="1">
        <f t="shared" si="7"/>
        <v>3.5510561809129406</v>
      </c>
      <c r="J92" s="1">
        <f t="shared" si="8"/>
        <v>3.1827660925679098</v>
      </c>
      <c r="K92" s="1">
        <f t="shared" si="9"/>
        <v>3.03315017762062</v>
      </c>
      <c r="L92" s="1">
        <f t="shared" si="10"/>
        <v>1</v>
      </c>
    </row>
    <row r="93" spans="2:12"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3.1953090617340916</v>
      </c>
      <c r="I93" s="1">
        <f t="shared" si="7"/>
        <v>3.6851051545376556</v>
      </c>
      <c r="J93" s="1">
        <f t="shared" si="8"/>
        <v>3.1968734726291563</v>
      </c>
      <c r="K93" s="1">
        <f t="shared" si="9"/>
        <v>3.1953090617340916</v>
      </c>
      <c r="L93" s="1">
        <f t="shared" si="10"/>
        <v>1</v>
      </c>
    </row>
    <row r="94" spans="2:12"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3.5860842154082215</v>
      </c>
      <c r="I94" s="1">
        <f t="shared" si="7"/>
        <v>3.0016662039607267</v>
      </c>
      <c r="J94" s="1">
        <f t="shared" si="8"/>
        <v>3.6864617182333523</v>
      </c>
      <c r="K94" s="1">
        <f t="shared" si="9"/>
        <v>3.0016662039607267</v>
      </c>
      <c r="L94" s="1">
        <f t="shared" si="10"/>
        <v>2</v>
      </c>
    </row>
    <row r="95" spans="2:12"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3.6619666847201109</v>
      </c>
      <c r="I95" s="1">
        <f t="shared" si="7"/>
        <v>3.0594117081556709</v>
      </c>
      <c r="J95" s="1">
        <f t="shared" si="8"/>
        <v>3.6249137920783716</v>
      </c>
      <c r="K95" s="1">
        <f t="shared" si="9"/>
        <v>3.0594117081556709</v>
      </c>
      <c r="L95" s="1">
        <f t="shared" si="10"/>
        <v>2</v>
      </c>
    </row>
    <row r="96" spans="2:12"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3.6619666847201109</v>
      </c>
      <c r="I96" s="1">
        <f t="shared" si="7"/>
        <v>3.0594117081556709</v>
      </c>
      <c r="J96" s="1">
        <f t="shared" si="8"/>
        <v>3.6249137920783716</v>
      </c>
      <c r="K96" s="1">
        <f t="shared" si="9"/>
        <v>3.0594117081556709</v>
      </c>
      <c r="L96" s="1">
        <f t="shared" si="10"/>
        <v>2</v>
      </c>
    </row>
    <row r="97" spans="2:12"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3.5791060336346563</v>
      </c>
      <c r="I97" s="1">
        <f t="shared" si="7"/>
        <v>3</v>
      </c>
      <c r="J97" s="1">
        <f t="shared" si="8"/>
        <v>3.7067505985701277</v>
      </c>
      <c r="K97" s="1">
        <f t="shared" si="9"/>
        <v>3</v>
      </c>
      <c r="L97" s="1">
        <f t="shared" si="10"/>
        <v>2</v>
      </c>
    </row>
    <row r="98" spans="2:12"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3.5860842154082215</v>
      </c>
      <c r="I98" s="1">
        <f t="shared" si="7"/>
        <v>3.0016662039607267</v>
      </c>
      <c r="J98" s="1">
        <f t="shared" si="8"/>
        <v>3.6864617182333523</v>
      </c>
      <c r="K98" s="1">
        <f t="shared" si="9"/>
        <v>3.0016662039607267</v>
      </c>
      <c r="L98" s="1">
        <f t="shared" si="10"/>
        <v>2</v>
      </c>
    </row>
    <row r="99" spans="2:12"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5.6089214649520631</v>
      </c>
      <c r="I99" s="1">
        <f t="shared" si="7"/>
        <v>4.924428900898052</v>
      </c>
      <c r="J99" s="1">
        <f t="shared" si="8"/>
        <v>4.5596052460711993</v>
      </c>
      <c r="K99" s="1">
        <f t="shared" si="9"/>
        <v>4.5596052460711993</v>
      </c>
      <c r="L99" s="1">
        <f t="shared" si="10"/>
        <v>3</v>
      </c>
    </row>
    <row r="100" spans="2:12"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5.9548299723837621</v>
      </c>
      <c r="I100" s="1">
        <f t="shared" si="7"/>
        <v>5.2773099207835044</v>
      </c>
      <c r="J100" s="1">
        <f t="shared" si="8"/>
        <v>4.8487111689602624</v>
      </c>
      <c r="K100" s="1">
        <f t="shared" si="9"/>
        <v>4.8487111689602624</v>
      </c>
      <c r="L100" s="1">
        <f t="shared" si="10"/>
        <v>3</v>
      </c>
    </row>
    <row r="101" spans="2:12"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3.03315017762062</v>
      </c>
      <c r="I101" s="1">
        <f t="shared" si="7"/>
        <v>3.5510561809129406</v>
      </c>
      <c r="J101" s="1">
        <f t="shared" si="8"/>
        <v>3.1827660925679098</v>
      </c>
      <c r="K101" s="1">
        <f t="shared" si="9"/>
        <v>3.03315017762062</v>
      </c>
      <c r="L101" s="1">
        <f t="shared" si="10"/>
        <v>1</v>
      </c>
    </row>
    <row r="102" spans="2:12"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3</v>
      </c>
      <c r="I102" s="1">
        <f t="shared" si="7"/>
        <v>3.5791060336346563</v>
      </c>
      <c r="J102" s="1">
        <f t="shared" si="8"/>
        <v>3.3481338085566414</v>
      </c>
      <c r="K102" s="1">
        <f t="shared" si="9"/>
        <v>3</v>
      </c>
      <c r="L102" s="1">
        <f t="shared" si="10"/>
        <v>1</v>
      </c>
    </row>
    <row r="103" spans="2:12"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5.9</v>
      </c>
      <c r="I103" s="1">
        <f t="shared" si="7"/>
        <v>5.8429444631966172</v>
      </c>
      <c r="J103" s="1">
        <f t="shared" si="8"/>
        <v>4.6904157598234297</v>
      </c>
      <c r="K103" s="1">
        <f t="shared" si="9"/>
        <v>4.6904157598234297</v>
      </c>
      <c r="L103" s="1">
        <f t="shared" si="10"/>
        <v>3</v>
      </c>
    </row>
    <row r="104" spans="2:12"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3.5860842154082215</v>
      </c>
      <c r="I104" s="1">
        <f t="shared" si="7"/>
        <v>3.0016662039607267</v>
      </c>
      <c r="J104" s="1">
        <f t="shared" si="8"/>
        <v>3.6864617182333523</v>
      </c>
      <c r="K104" s="1">
        <f t="shared" si="9"/>
        <v>3.0016662039607267</v>
      </c>
      <c r="L104" s="1">
        <f t="shared" si="10"/>
        <v>2</v>
      </c>
    </row>
    <row r="105" spans="2:12"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5.1224993899462792</v>
      </c>
      <c r="I105" s="1">
        <f t="shared" si="7"/>
        <v>5.3637673327615545</v>
      </c>
      <c r="J105" s="1">
        <f t="shared" si="8"/>
        <v>4.6957427527495588</v>
      </c>
      <c r="K105" s="1">
        <f t="shared" si="9"/>
        <v>4.6957427527495588</v>
      </c>
      <c r="L105" s="1">
        <f t="shared" si="10"/>
        <v>3</v>
      </c>
    </row>
    <row r="106" spans="2:12"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7.1239034243875032</v>
      </c>
      <c r="I106" s="1">
        <f t="shared" si="7"/>
        <v>6.5130637951735126</v>
      </c>
      <c r="J106" s="1">
        <f t="shared" si="8"/>
        <v>6.038211655780211</v>
      </c>
      <c r="K106" s="1">
        <f t="shared" si="9"/>
        <v>6.038211655780211</v>
      </c>
      <c r="L106" s="1">
        <f t="shared" si="10"/>
        <v>3</v>
      </c>
    </row>
    <row r="107" spans="2:12"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5.315072906367325</v>
      </c>
      <c r="I107" s="1">
        <f t="shared" si="7"/>
        <v>5.5371472799628512</v>
      </c>
      <c r="J107" s="1">
        <f t="shared" si="8"/>
        <v>4.8435524153249343</v>
      </c>
      <c r="K107" s="1">
        <f t="shared" si="9"/>
        <v>4.8435524153249343</v>
      </c>
      <c r="L107" s="1">
        <f t="shared" si="10"/>
        <v>3</v>
      </c>
    </row>
    <row r="108" spans="2:12"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7.3280283842245044</v>
      </c>
      <c r="I108" s="1">
        <f t="shared" si="7"/>
        <v>7.2187256493095786</v>
      </c>
      <c r="J108" s="1">
        <f t="shared" si="8"/>
        <v>6.142475071174486</v>
      </c>
      <c r="K108" s="1">
        <f t="shared" si="9"/>
        <v>6.142475071174486</v>
      </c>
      <c r="L108" s="1">
        <f t="shared" si="10"/>
        <v>3</v>
      </c>
    </row>
    <row r="109" spans="2:12"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4</v>
      </c>
      <c r="I109" s="1">
        <f t="shared" si="7"/>
        <v>4.4508426168535768</v>
      </c>
      <c r="J109" s="1">
        <f t="shared" si="8"/>
        <v>4.2673176586703736</v>
      </c>
      <c r="K109" s="1">
        <f t="shared" si="9"/>
        <v>4</v>
      </c>
      <c r="L109" s="1">
        <f t="shared" si="10"/>
        <v>1</v>
      </c>
    </row>
    <row r="110" spans="2:12"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7.8828928700065433</v>
      </c>
      <c r="I110" s="1">
        <f t="shared" si="7"/>
        <v>7.2780491891715045</v>
      </c>
      <c r="J110" s="1">
        <f t="shared" si="8"/>
        <v>6.7149087856798175</v>
      </c>
      <c r="K110" s="1">
        <f t="shared" si="9"/>
        <v>6.7149087856798175</v>
      </c>
      <c r="L110" s="1">
        <f t="shared" si="10"/>
        <v>3</v>
      </c>
    </row>
    <row r="111" spans="2:12"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6.1065538563088104</v>
      </c>
      <c r="I111" s="1">
        <f t="shared" si="7"/>
        <v>6.1367743970265032</v>
      </c>
      <c r="J111" s="1">
        <f t="shared" si="8"/>
        <v>5.1419840528729761</v>
      </c>
      <c r="K111" s="1">
        <f t="shared" si="9"/>
        <v>5.1419840528729761</v>
      </c>
      <c r="L111" s="1">
        <f t="shared" si="10"/>
        <v>3</v>
      </c>
    </row>
    <row r="112" spans="2:12"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4.0311288741492746</v>
      </c>
      <c r="I112" s="1">
        <f t="shared" si="7"/>
        <v>4.4294469180700204</v>
      </c>
      <c r="J112" s="1">
        <f t="shared" si="8"/>
        <v>4.1206795556073033</v>
      </c>
      <c r="K112" s="1">
        <f t="shared" si="9"/>
        <v>4.0311288741492746</v>
      </c>
      <c r="L112" s="1">
        <f t="shared" si="10"/>
        <v>1</v>
      </c>
    </row>
    <row r="113" spans="2:12"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4.4283179650969053</v>
      </c>
      <c r="I113" s="1">
        <f t="shared" si="7"/>
        <v>4.0249223594996213</v>
      </c>
      <c r="J113" s="1">
        <f t="shared" si="8"/>
        <v>4.6711882856506648</v>
      </c>
      <c r="K113" s="1">
        <f t="shared" si="9"/>
        <v>4.0249223594996213</v>
      </c>
      <c r="L113" s="1">
        <f t="shared" si="10"/>
        <v>2</v>
      </c>
    </row>
    <row r="114" spans="2:12"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4.4283179650969053</v>
      </c>
      <c r="I114" s="1">
        <f t="shared" si="7"/>
        <v>4.0249223594996213</v>
      </c>
      <c r="J114" s="1">
        <f t="shared" si="8"/>
        <v>4.6711882856506648</v>
      </c>
      <c r="K114" s="1">
        <f t="shared" si="9"/>
        <v>4.0249223594996213</v>
      </c>
      <c r="L114" s="1">
        <f t="shared" si="10"/>
        <v>2</v>
      </c>
    </row>
    <row r="115" spans="2:12"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4.474371464239419</v>
      </c>
      <c r="I115" s="1">
        <f t="shared" si="7"/>
        <v>4.0112342240263157</v>
      </c>
      <c r="J115" s="1">
        <f t="shared" si="8"/>
        <v>4.5110974274559847</v>
      </c>
      <c r="K115" s="1">
        <f t="shared" si="9"/>
        <v>4.0112342240263157</v>
      </c>
      <c r="L115" s="1">
        <f t="shared" si="10"/>
        <v>2</v>
      </c>
    </row>
    <row r="116" spans="2:12"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4.4508426168535768</v>
      </c>
      <c r="I116" s="1">
        <f t="shared" si="7"/>
        <v>4</v>
      </c>
      <c r="J116" s="1">
        <f t="shared" si="8"/>
        <v>4.5541190146942805</v>
      </c>
      <c r="K116" s="1">
        <f t="shared" si="9"/>
        <v>4</v>
      </c>
      <c r="L116" s="1">
        <f t="shared" si="10"/>
        <v>2</v>
      </c>
    </row>
    <row r="117" spans="2:12"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4.4283179650969053</v>
      </c>
      <c r="I117" s="1">
        <f t="shared" si="7"/>
        <v>4.0249223594996213</v>
      </c>
      <c r="J117" s="1">
        <f t="shared" si="8"/>
        <v>4.6711882856506648</v>
      </c>
      <c r="K117" s="1">
        <f t="shared" si="9"/>
        <v>4.0249223594996213</v>
      </c>
      <c r="L117" s="1">
        <f t="shared" si="10"/>
        <v>2</v>
      </c>
    </row>
    <row r="118" spans="2:12"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4.4283179650969053</v>
      </c>
      <c r="I118" s="1">
        <f t="shared" si="7"/>
        <v>4.0249223594996213</v>
      </c>
      <c r="J118" s="1">
        <f t="shared" si="8"/>
        <v>4.6711882856506648</v>
      </c>
      <c r="K118" s="1">
        <f t="shared" si="9"/>
        <v>4.0249223594996213</v>
      </c>
      <c r="L118" s="1">
        <f t="shared" si="10"/>
        <v>2</v>
      </c>
    </row>
    <row r="119" spans="2:12"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4</v>
      </c>
      <c r="I119" s="1">
        <f t="shared" si="7"/>
        <v>4.4508426168535768</v>
      </c>
      <c r="J119" s="1">
        <f t="shared" si="8"/>
        <v>4.2673176586703736</v>
      </c>
      <c r="K119" s="1">
        <f t="shared" si="9"/>
        <v>4</v>
      </c>
      <c r="L119" s="1">
        <f t="shared" si="10"/>
        <v>1</v>
      </c>
    </row>
    <row r="120" spans="2:12"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4</v>
      </c>
      <c r="I120" s="1">
        <f t="shared" si="7"/>
        <v>4.4508426168535768</v>
      </c>
      <c r="J120" s="1">
        <f t="shared" si="8"/>
        <v>4.2673176586703736</v>
      </c>
      <c r="K120" s="1">
        <f t="shared" si="9"/>
        <v>4</v>
      </c>
      <c r="L120" s="1">
        <f t="shared" si="10"/>
        <v>1</v>
      </c>
    </row>
    <row r="121" spans="2:12"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4.4508426168535768</v>
      </c>
      <c r="I121" s="1">
        <f t="shared" si="7"/>
        <v>4</v>
      </c>
      <c r="J121" s="1">
        <f t="shared" si="8"/>
        <v>4.5541190146942805</v>
      </c>
      <c r="K121" s="1">
        <f t="shared" si="9"/>
        <v>4</v>
      </c>
      <c r="L121" s="1">
        <f t="shared" si="10"/>
        <v>2</v>
      </c>
    </row>
    <row r="122" spans="2:12"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4.4283179650969053</v>
      </c>
      <c r="I122" s="1">
        <f t="shared" si="7"/>
        <v>4.0249223594996213</v>
      </c>
      <c r="J122" s="1">
        <f t="shared" si="8"/>
        <v>4.6711882856506648</v>
      </c>
      <c r="K122" s="1">
        <f t="shared" si="9"/>
        <v>4.0249223594996213</v>
      </c>
      <c r="L122" s="1">
        <f t="shared" si="10"/>
        <v>2</v>
      </c>
    </row>
    <row r="123" spans="2:12"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4</v>
      </c>
      <c r="I123" s="1">
        <f t="shared" si="7"/>
        <v>4.4508426168535768</v>
      </c>
      <c r="J123" s="1">
        <f t="shared" si="8"/>
        <v>4.2673176586703736</v>
      </c>
      <c r="K123" s="1">
        <f t="shared" si="9"/>
        <v>4</v>
      </c>
      <c r="L123" s="1">
        <f t="shared" si="10"/>
        <v>1</v>
      </c>
    </row>
    <row r="124" spans="2:12"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4</v>
      </c>
      <c r="I124" s="1">
        <f t="shared" si="7"/>
        <v>4.4508426168535768</v>
      </c>
      <c r="J124" s="1">
        <f t="shared" si="8"/>
        <v>4.2673176586703736</v>
      </c>
      <c r="K124" s="1">
        <f t="shared" si="9"/>
        <v>4</v>
      </c>
      <c r="L124" s="1">
        <f t="shared" si="10"/>
        <v>1</v>
      </c>
    </row>
    <row r="125" spans="2:12"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4</v>
      </c>
      <c r="I125" s="1">
        <f t="shared" si="7"/>
        <v>4.4508426168535768</v>
      </c>
      <c r="J125" s="1">
        <f t="shared" si="8"/>
        <v>4.2673176586703736</v>
      </c>
      <c r="K125" s="1">
        <f t="shared" si="9"/>
        <v>4</v>
      </c>
      <c r="L125" s="1">
        <f t="shared" si="10"/>
        <v>1</v>
      </c>
    </row>
    <row r="126" spans="2:12"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5</v>
      </c>
      <c r="I126" s="1">
        <f t="shared" si="7"/>
        <v>5.3674947601278564</v>
      </c>
      <c r="J126" s="1">
        <f t="shared" si="8"/>
        <v>5.2163205422979901</v>
      </c>
      <c r="K126" s="1">
        <f t="shared" si="9"/>
        <v>5</v>
      </c>
      <c r="L126" s="1">
        <f t="shared" si="10"/>
        <v>1</v>
      </c>
    </row>
    <row r="127" spans="2:12"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5.3488316481265326</v>
      </c>
      <c r="I127" s="1">
        <f t="shared" si="7"/>
        <v>5.0199601592044534</v>
      </c>
      <c r="J127" s="1">
        <f t="shared" si="8"/>
        <v>5.5515763527128037</v>
      </c>
      <c r="K127" s="1">
        <f t="shared" si="9"/>
        <v>5.0199601592044534</v>
      </c>
      <c r="L127" s="1">
        <f t="shared" si="10"/>
        <v>2</v>
      </c>
    </row>
    <row r="128" spans="2:12"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5.024937810560445</v>
      </c>
      <c r="I128" s="1">
        <f t="shared" si="7"/>
        <v>5.3497663500381023</v>
      </c>
      <c r="J128" s="1">
        <f t="shared" si="8"/>
        <v>5.0970579749498635</v>
      </c>
      <c r="K128" s="1">
        <f t="shared" si="9"/>
        <v>5.024937810560445</v>
      </c>
      <c r="L128" s="1">
        <f t="shared" si="10"/>
        <v>1</v>
      </c>
    </row>
    <row r="129" spans="2:12"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5.372150407425317</v>
      </c>
      <c r="I129" s="1">
        <f t="shared" si="7"/>
        <v>5.0009999000199947</v>
      </c>
      <c r="J129" s="1">
        <f t="shared" si="8"/>
        <v>5.4396691075836587</v>
      </c>
      <c r="K129" s="1">
        <f t="shared" si="9"/>
        <v>5.0009999000199947</v>
      </c>
      <c r="L129" s="1">
        <f t="shared" si="10"/>
        <v>2</v>
      </c>
    </row>
    <row r="130" spans="2:12"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5.024937810560445</v>
      </c>
      <c r="I130" s="1">
        <f t="shared" si="7"/>
        <v>5.3497663500381023</v>
      </c>
      <c r="J130" s="1">
        <f t="shared" si="8"/>
        <v>5.0970579749498635</v>
      </c>
      <c r="K130" s="1">
        <f t="shared" si="9"/>
        <v>5.024937810560445</v>
      </c>
      <c r="L130" s="1">
        <f t="shared" si="10"/>
        <v>1</v>
      </c>
    </row>
    <row r="131" spans="2:12"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6.7394361781976988</v>
      </c>
      <c r="I131" s="1">
        <f t="shared" si="7"/>
        <v>6.3537390566500287</v>
      </c>
      <c r="J131" s="1">
        <f t="shared" si="8"/>
        <v>6.27933117457584</v>
      </c>
      <c r="K131" s="1">
        <f t="shared" si="9"/>
        <v>6.27933117457584</v>
      </c>
      <c r="L131" s="1">
        <f t="shared" si="10"/>
        <v>3</v>
      </c>
    </row>
    <row r="132" spans="2:12"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5.3488316481265326</v>
      </c>
      <c r="I132" s="1">
        <f t="shared" si="7"/>
        <v>5.0199601592044534</v>
      </c>
      <c r="J132" s="1">
        <f t="shared" si="8"/>
        <v>5.5515763527128037</v>
      </c>
      <c r="K132" s="1">
        <f t="shared" si="9"/>
        <v>5.0199601592044534</v>
      </c>
      <c r="L132" s="1">
        <f t="shared" si="10"/>
        <v>2</v>
      </c>
    </row>
    <row r="133" spans="2:12"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5</v>
      </c>
      <c r="I133" s="1">
        <f t="shared" si="7"/>
        <v>5.3674947601278564</v>
      </c>
      <c r="J133" s="1">
        <f t="shared" si="8"/>
        <v>5.2163205422979901</v>
      </c>
      <c r="K133" s="1">
        <f t="shared" si="9"/>
        <v>5</v>
      </c>
      <c r="L133" s="1">
        <f t="shared" si="10"/>
        <v>1</v>
      </c>
    </row>
    <row r="134" spans="2:12"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5</v>
      </c>
      <c r="I134" s="1">
        <f t="shared" si="7"/>
        <v>5.3674947601278564</v>
      </c>
      <c r="J134" s="1">
        <f t="shared" si="8"/>
        <v>5.2163205422979901</v>
      </c>
      <c r="K134" s="1">
        <f t="shared" si="9"/>
        <v>5</v>
      </c>
      <c r="L134" s="1">
        <f t="shared" si="10"/>
        <v>1</v>
      </c>
    </row>
    <row r="135" spans="2:12"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5</v>
      </c>
      <c r="I135" s="1">
        <f t="shared" si="7"/>
        <v>5.3674947601278564</v>
      </c>
      <c r="J135" s="1">
        <f t="shared" si="8"/>
        <v>5.2163205422979901</v>
      </c>
      <c r="K135" s="1">
        <f t="shared" si="9"/>
        <v>5</v>
      </c>
      <c r="L135" s="1">
        <f t="shared" si="10"/>
        <v>1</v>
      </c>
    </row>
  </sheetData>
  <mergeCells count="6">
    <mergeCell ref="L8:L9"/>
    <mergeCell ref="H1:J1"/>
    <mergeCell ref="C8:G8"/>
    <mergeCell ref="B8:B9"/>
    <mergeCell ref="H8:J8"/>
    <mergeCell ref="K8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18EF-C69F-9944-9E06-AABF2E6A3995}">
  <dimension ref="A1:L135"/>
  <sheetViews>
    <sheetView workbookViewId="0">
      <selection sqref="A1:L135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1'!$L$10:$L$135,$A$2,'iterasi 1'!C$10:C$135)/$B$2</f>
        <v>0</v>
      </c>
      <c r="D2" s="3">
        <f>SUMIF('iterasi 1'!$L$10:$L$135,$A$2,'iterasi 1'!D$10:D$135)/$B$2</f>
        <v>-0.34186046511627899</v>
      </c>
      <c r="E2" s="3">
        <f>SUMIF('iterasi 1'!$L$10:$L$135,$A$2,'iterasi 1'!E$10:E$135)/$B$2</f>
        <v>-0.51395348837209276</v>
      </c>
      <c r="F2" s="3">
        <f>SUMIF('iterasi 1'!$L$10:$L$135,$A$2,'iterasi 1'!F$10:F$135)/$B$2</f>
        <v>-1</v>
      </c>
      <c r="G2" s="3">
        <f>SUMIF('iterasi 1'!$L$10:$L$135,$A$2,'iterasi 1'!G$10:G$135)/$B$2</f>
        <v>3.441860465116279</v>
      </c>
      <c r="H2" s="1"/>
      <c r="I2" s="1"/>
      <c r="J2" s="1"/>
      <c r="K2" s="1">
        <v>1</v>
      </c>
      <c r="L2" s="1">
        <f>COUNTIF($L$10:$L$135,A2)</f>
        <v>51</v>
      </c>
    </row>
    <row r="3" spans="1:12">
      <c r="A3" s="13">
        <v>2</v>
      </c>
      <c r="B3" s="9">
        <f>'iterasi 1'!L3</f>
        <v>60</v>
      </c>
      <c r="C3" s="3">
        <f>SUMIF('iterasi 1'!$L$10:$L$135,$A$3,'iterasi 1'!C$10:C$135)/$B$3</f>
        <v>0</v>
      </c>
      <c r="D3" s="3">
        <f>SUMIF('iterasi 1'!$L$10:$L$135,$A$3,'iterasi 1'!D$10:D$135)/$B$3</f>
        <v>-0.30666666666666659</v>
      </c>
      <c r="E3" s="3">
        <f>SUMIF('iterasi 1'!$L$10:$L$135,$A$3,'iterasi 1'!E$10:E$135)/$B$3</f>
        <v>-0.29999999999999988</v>
      </c>
      <c r="F3" s="3">
        <f>SUMIF('iterasi 1'!$L$10:$L$135,$A$3,'iterasi 1'!F$10:F$135)/$B$3</f>
        <v>0.89999999999999902</v>
      </c>
      <c r="G3" s="3">
        <f>SUMIF('iterasi 1'!$L$10:$L$135,$A$3,'iterasi 1'!G$10:G$135)/$B$3</f>
        <v>2.9166666666666665</v>
      </c>
      <c r="H3" s="1"/>
      <c r="I3" s="1"/>
      <c r="J3" s="1"/>
      <c r="K3" s="1">
        <v>2</v>
      </c>
      <c r="L3" s="1">
        <f t="shared" ref="L3:L4" si="0">COUNTIF($L$10:$L$135,A3)</f>
        <v>60</v>
      </c>
    </row>
    <row r="4" spans="1:12">
      <c r="A4" s="13">
        <v>3</v>
      </c>
      <c r="B4" s="9">
        <f>'iterasi 1'!L4</f>
        <v>23</v>
      </c>
      <c r="C4" s="3">
        <f>SUMIF('iterasi 1'!$L$10:$L$135,$A$4,'iterasi 1'!C$10:C$135)/$B$4</f>
        <v>0</v>
      </c>
      <c r="D4" s="3">
        <f>SUMIF('iterasi 1'!$L$10:$L$135,$A$4,'iterasi 1'!D$10:D$135)/$B$4</f>
        <v>1.3913043478260869</v>
      </c>
      <c r="E4" s="3">
        <f>SUMIF('iterasi 1'!$L$10:$L$135,$A$4,'iterasi 1'!E$10:E$135)/$B$4</f>
        <v>1.6521739130434783</v>
      </c>
      <c r="F4" s="3">
        <f>SUMIF('iterasi 1'!$L$10:$L$135,$A$4,'iterasi 1'!F$10:F$135)/$B$4</f>
        <v>-0.50434782608695639</v>
      </c>
      <c r="G4" s="3">
        <f>SUMIF('iterasi 1'!$L$10:$L$135,$A$4,'iterasi 1'!G$10:G$135)/$B$4</f>
        <v>3.4347826086956523</v>
      </c>
      <c r="H4" s="1"/>
      <c r="I4" s="1"/>
      <c r="J4" s="1"/>
      <c r="K4" s="1">
        <v>3</v>
      </c>
      <c r="L4" s="1">
        <f t="shared" si="0"/>
        <v>15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2.4540382939310548</v>
      </c>
      <c r="I10" s="1">
        <f>SQRT((($C10-$C$3)^2)+(($D10-$D$3)^2)+(($E10-$E$3)^2)+(($F10-$F$3)^2)+(($G10-$G$3)^2))</f>
        <v>2.7351396470544032</v>
      </c>
      <c r="J10" s="1">
        <f>SQRT((($C10-$C$4)^2)+(($D10-$D$4)^2)+(($E10-$E$4)^2)+(($F10-$F$4)^2)+(($G10-$G$4)^2))</f>
        <v>3.9094234462922612</v>
      </c>
      <c r="K10" s="1">
        <f>MIN(H10:J10)</f>
        <v>2.4540382939310548</v>
      </c>
      <c r="L10" s="1">
        <f>IF(K10=J10, $J$9, IF(K10=I10, $I$9, IF(K10=H10, $H$9)))</f>
        <v>1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3.1034454587638405</v>
      </c>
      <c r="I11" s="1">
        <f t="shared" ref="I11:I74" si="2">SQRT((($C11-$C$3)^2)+(($D11-$D$3)^2)+(($E11-$E$3)^2)+(($F11-$F$3)^2)+(($G11-$G$3)^2))</f>
        <v>1.9381233764191128</v>
      </c>
      <c r="J11" s="1">
        <f t="shared" ref="J11:J74" si="3">SQRT((($C11-$C$4)^2)+(($D11-$D$4)^2)+(($E11-$E$4)^2)+(($F11-$F$4)^2)+(($G11-$G$4)^2))</f>
        <v>3.8413800095892405</v>
      </c>
      <c r="K11" s="1">
        <f t="shared" ref="K11:K74" si="4">MIN(H11:J11)</f>
        <v>1.9381233764191128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3.1035953260823232</v>
      </c>
      <c r="I12" s="1">
        <f t="shared" si="2"/>
        <v>1.9674828814728957</v>
      </c>
      <c r="J12" s="1">
        <f t="shared" si="3"/>
        <v>4.124331875776984</v>
      </c>
      <c r="K12" s="1">
        <f t="shared" si="4"/>
        <v>1.9674828814728957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3.1034454587638405</v>
      </c>
      <c r="I13" s="1">
        <f t="shared" si="2"/>
        <v>1.9381233764191128</v>
      </c>
      <c r="J13" s="1">
        <f t="shared" si="3"/>
        <v>3.8413800095892405</v>
      </c>
      <c r="K13" s="1">
        <f t="shared" si="4"/>
        <v>1.9381233764191128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3.1035953260823232</v>
      </c>
      <c r="I14" s="1">
        <f t="shared" si="2"/>
        <v>1.9674828814728957</v>
      </c>
      <c r="J14" s="1">
        <f t="shared" si="3"/>
        <v>4.124331875776984</v>
      </c>
      <c r="K14" s="1">
        <f t="shared" si="4"/>
        <v>1.9674828814728957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2.4564536252891731</v>
      </c>
      <c r="I15" s="1">
        <f t="shared" si="2"/>
        <v>2.7085646055101247</v>
      </c>
      <c r="J15" s="1">
        <f t="shared" si="3"/>
        <v>3.5509497118845128</v>
      </c>
      <c r="K15" s="1">
        <f t="shared" si="4"/>
        <v>2.4564536252891731</v>
      </c>
      <c r="L15" s="1">
        <f t="shared" si="5"/>
        <v>1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2.4564536252891731</v>
      </c>
      <c r="I16" s="1">
        <f t="shared" si="2"/>
        <v>2.7085646055101247</v>
      </c>
      <c r="J16" s="1">
        <f t="shared" si="3"/>
        <v>3.5509497118845128</v>
      </c>
      <c r="K16" s="1">
        <f t="shared" si="4"/>
        <v>2.4564536252891731</v>
      </c>
      <c r="L16" s="1">
        <f t="shared" si="5"/>
        <v>1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3.1035953260823232</v>
      </c>
      <c r="I17" s="1">
        <f t="shared" si="2"/>
        <v>1.9674828814728957</v>
      </c>
      <c r="J17" s="1">
        <f t="shared" si="3"/>
        <v>4.124331875776984</v>
      </c>
      <c r="K17" s="1">
        <f t="shared" si="4"/>
        <v>1.9674828814728957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3.1035953260823232</v>
      </c>
      <c r="I18" s="1">
        <f>SQRT((($C18-$C$3)^2)+(($D18-$D$3)^2)+(($E18-$E$3)^2)+(($F18-$F$3)^2)+(($G18-$G$3)^2))</f>
        <v>1.9674828814728957</v>
      </c>
      <c r="J18" s="1">
        <f t="shared" si="3"/>
        <v>4.124331875776984</v>
      </c>
      <c r="K18" s="1">
        <f t="shared" si="4"/>
        <v>1.9674828814728957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2.4538487556330573</v>
      </c>
      <c r="I19" s="1">
        <f t="shared" si="2"/>
        <v>2.7140969441459193</v>
      </c>
      <c r="J19" s="1">
        <f t="shared" si="3"/>
        <v>3.6096646158530299</v>
      </c>
      <c r="K19" s="1">
        <f t="shared" si="4"/>
        <v>2.4538487556330573</v>
      </c>
      <c r="L19" s="1">
        <f t="shared" si="5"/>
        <v>1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2.473811999434306</v>
      </c>
      <c r="I20" s="1">
        <f t="shared" si="2"/>
        <v>2.7085646055101247</v>
      </c>
      <c r="J20" s="1">
        <f t="shared" si="3"/>
        <v>3.4392403654172403</v>
      </c>
      <c r="K20" s="1">
        <f t="shared" si="4"/>
        <v>2.473811999434306</v>
      </c>
      <c r="L20" s="1">
        <f t="shared" si="5"/>
        <v>1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2.4538487556330573</v>
      </c>
      <c r="I21" s="1">
        <f t="shared" si="2"/>
        <v>2.7140969441459193</v>
      </c>
      <c r="J21" s="1">
        <f t="shared" si="3"/>
        <v>3.6096646158530299</v>
      </c>
      <c r="K21" s="1">
        <f t="shared" si="4"/>
        <v>2.4538487556330573</v>
      </c>
      <c r="L21" s="1">
        <f t="shared" si="5"/>
        <v>1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3.2013771374186795</v>
      </c>
      <c r="I22" s="1">
        <f t="shared" si="2"/>
        <v>2.0326474252943019</v>
      </c>
      <c r="J22" s="1">
        <f t="shared" si="3"/>
        <v>3.4381656427181468</v>
      </c>
      <c r="K22" s="1">
        <f t="shared" si="4"/>
        <v>2.0326474252943019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2.5294501184187079</v>
      </c>
      <c r="I23" s="1">
        <f t="shared" si="2"/>
        <v>2.7361144388022622</v>
      </c>
      <c r="J23" s="1">
        <f t="shared" si="3"/>
        <v>3.2874108266672764</v>
      </c>
      <c r="K23" s="1">
        <f t="shared" si="4"/>
        <v>2.5294501184187079</v>
      </c>
      <c r="L23" s="1">
        <f t="shared" si="5"/>
        <v>1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2.4540382939310548</v>
      </c>
      <c r="I24" s="1">
        <f t="shared" si="2"/>
        <v>2.7351396470544032</v>
      </c>
      <c r="J24" s="1">
        <f t="shared" si="3"/>
        <v>3.9094234462922612</v>
      </c>
      <c r="K24" s="1">
        <f t="shared" si="4"/>
        <v>2.4540382939310548</v>
      </c>
      <c r="L24" s="1">
        <f t="shared" si="5"/>
        <v>1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3.1034454587638405</v>
      </c>
      <c r="I25" s="1">
        <f t="shared" si="2"/>
        <v>1.9381233764191128</v>
      </c>
      <c r="J25" s="1">
        <f t="shared" si="3"/>
        <v>3.8413800095892405</v>
      </c>
      <c r="K25" s="1">
        <f t="shared" si="4"/>
        <v>1.9381233764191128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3.1035953260823232</v>
      </c>
      <c r="I26" s="1">
        <f t="shared" si="2"/>
        <v>1.9674828814728957</v>
      </c>
      <c r="J26" s="1">
        <f t="shared" si="3"/>
        <v>4.124331875776984</v>
      </c>
      <c r="K26" s="1">
        <f t="shared" si="4"/>
        <v>1.9674828814728957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2.4540382939310548</v>
      </c>
      <c r="I27" s="1">
        <f t="shared" si="2"/>
        <v>2.7351396470544032</v>
      </c>
      <c r="J27" s="1">
        <f t="shared" si="3"/>
        <v>3.9094234462922612</v>
      </c>
      <c r="K27" s="1">
        <f t="shared" si="4"/>
        <v>2.4540382939310548</v>
      </c>
      <c r="L27" s="1">
        <f t="shared" si="5"/>
        <v>1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2.4540382939310548</v>
      </c>
      <c r="I28" s="1">
        <f t="shared" si="2"/>
        <v>2.7351396470544032</v>
      </c>
      <c r="J28" s="1">
        <f t="shared" si="3"/>
        <v>3.9094234462922612</v>
      </c>
      <c r="K28" s="1">
        <f t="shared" si="4"/>
        <v>2.4540382939310548</v>
      </c>
      <c r="L28" s="1">
        <f t="shared" si="5"/>
        <v>1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3.1035953260823232</v>
      </c>
      <c r="I29" s="1">
        <f t="shared" si="2"/>
        <v>1.9674828814728957</v>
      </c>
      <c r="J29" s="1">
        <f t="shared" si="3"/>
        <v>4.124331875776984</v>
      </c>
      <c r="K29" s="1">
        <f t="shared" si="4"/>
        <v>1.9674828814728957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2.7408582502712617</v>
      </c>
      <c r="I30" s="1">
        <f t="shared" si="2"/>
        <v>2.9095799620487406</v>
      </c>
      <c r="J30" s="1">
        <f t="shared" si="3"/>
        <v>2.9374094524113099</v>
      </c>
      <c r="K30" s="1">
        <f t="shared" si="4"/>
        <v>2.7408582502712617</v>
      </c>
      <c r="L30" s="1">
        <f t="shared" si="5"/>
        <v>1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3.1035953260823232</v>
      </c>
      <c r="I31" s="1">
        <f t="shared" si="2"/>
        <v>1.9674828814728957</v>
      </c>
      <c r="J31" s="1">
        <f t="shared" si="3"/>
        <v>4.124331875776984</v>
      </c>
      <c r="K31" s="1">
        <f t="shared" si="4"/>
        <v>1.9674828814728957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3.1035953260823232</v>
      </c>
      <c r="I32" s="1">
        <f t="shared" si="2"/>
        <v>1.9674828814728957</v>
      </c>
      <c r="J32" s="1">
        <f t="shared" si="3"/>
        <v>4.124331875776984</v>
      </c>
      <c r="K32" s="1">
        <f t="shared" si="4"/>
        <v>1.9674828814728957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2.4538487556330573</v>
      </c>
      <c r="I33" s="1">
        <f t="shared" si="2"/>
        <v>2.7140969441459193</v>
      </c>
      <c r="J33" s="1">
        <f t="shared" si="3"/>
        <v>3.6096646158530299</v>
      </c>
      <c r="K33" s="1">
        <f t="shared" si="4"/>
        <v>2.4538487556330573</v>
      </c>
      <c r="L33" s="1">
        <f t="shared" si="5"/>
        <v>1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3.2300157309986353</v>
      </c>
      <c r="I34" s="1">
        <f t="shared" si="2"/>
        <v>2.0496314031768952</v>
      </c>
      <c r="J34" s="1">
        <f t="shared" si="3"/>
        <v>3.6118320576757776</v>
      </c>
      <c r="K34" s="1">
        <f t="shared" si="4"/>
        <v>2.0496314031768952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2.55915624616124</v>
      </c>
      <c r="I35" s="1">
        <f t="shared" si="2"/>
        <v>1.1694680652140763</v>
      </c>
      <c r="J35" s="1">
        <f t="shared" si="3"/>
        <v>3.0291526200347083</v>
      </c>
      <c r="K35" s="1">
        <f t="shared" si="4"/>
        <v>1.1694680652140763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2.6435488381544889</v>
      </c>
      <c r="I36" s="1">
        <f t="shared" si="2"/>
        <v>1.3011490648226622</v>
      </c>
      <c r="J36" s="1">
        <f t="shared" si="3"/>
        <v>2.713273401628534</v>
      </c>
      <c r="K36" s="1">
        <f t="shared" si="4"/>
        <v>1.3011490648226622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1.4623894891059239</v>
      </c>
      <c r="I37" s="1">
        <f t="shared" si="2"/>
        <v>2.1558421917096697</v>
      </c>
      <c r="J37" s="1">
        <f t="shared" si="3"/>
        <v>3.3784651049002057</v>
      </c>
      <c r="K37" s="1">
        <f t="shared" si="4"/>
        <v>1.4623894891059239</v>
      </c>
      <c r="L37" s="1">
        <f t="shared" si="5"/>
        <v>1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2.55915624616124</v>
      </c>
      <c r="I38" s="1">
        <f t="shared" si="2"/>
        <v>1.1694680652140763</v>
      </c>
      <c r="J38" s="1">
        <f t="shared" si="3"/>
        <v>3.0291526200347083</v>
      </c>
      <c r="K38" s="1">
        <f t="shared" si="4"/>
        <v>1.1694680652140763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1.5856850164316545</v>
      </c>
      <c r="I39" s="1">
        <f t="shared" si="2"/>
        <v>2.15707878597164</v>
      </c>
      <c r="J39" s="1">
        <f t="shared" si="3"/>
        <v>2.6339143353377916</v>
      </c>
      <c r="K39" s="1">
        <f t="shared" si="4"/>
        <v>1.5856850164316545</v>
      </c>
      <c r="L39" s="1">
        <f t="shared" si="5"/>
        <v>1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2.4000923905057827</v>
      </c>
      <c r="I40" s="1">
        <f t="shared" si="2"/>
        <v>0.94498089339884994</v>
      </c>
      <c r="J40" s="1">
        <f t="shared" si="3"/>
        <v>3.2351507504398982</v>
      </c>
      <c r="K40" s="1">
        <f t="shared" si="4"/>
        <v>0.94498089339884994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2.55915624616124</v>
      </c>
      <c r="I41" s="1">
        <f t="shared" si="2"/>
        <v>1.1694680652140763</v>
      </c>
      <c r="J41" s="1">
        <f t="shared" si="3"/>
        <v>3.0291526200347083</v>
      </c>
      <c r="K41" s="1">
        <f t="shared" si="4"/>
        <v>1.1694680652140763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2.55915624616124</v>
      </c>
      <c r="I42" s="1">
        <f t="shared" si="2"/>
        <v>1.1694680652140763</v>
      </c>
      <c r="J42" s="1">
        <f t="shared" si="3"/>
        <v>3.0291526200347083</v>
      </c>
      <c r="K42" s="1">
        <f t="shared" si="4"/>
        <v>1.1694680652140763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2.3974262835985898</v>
      </c>
      <c r="I43" s="1">
        <f t="shared" si="2"/>
        <v>0.96072310729413013</v>
      </c>
      <c r="J43" s="1">
        <f t="shared" si="3"/>
        <v>3.2994901364726839</v>
      </c>
      <c r="K43" s="1">
        <f t="shared" si="4"/>
        <v>0.96072310729413013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2.3976202822481056</v>
      </c>
      <c r="I44" s="1">
        <f t="shared" si="2"/>
        <v>1.0186537957302055</v>
      </c>
      <c r="J44" s="1">
        <f t="shared" si="3"/>
        <v>3.6249894074547018</v>
      </c>
      <c r="K44" s="1">
        <f t="shared" si="4"/>
        <v>1.0186537957302055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2.4747519009662073</v>
      </c>
      <c r="I45" s="1">
        <f t="shared" si="2"/>
        <v>1.0212682746902935</v>
      </c>
      <c r="J45" s="1">
        <f t="shared" si="3"/>
        <v>2.943471838667453</v>
      </c>
      <c r="K45" s="1">
        <f t="shared" si="4"/>
        <v>1.0212682746902935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1.4620714022541257</v>
      </c>
      <c r="I46" s="1">
        <f t="shared" si="2"/>
        <v>2.1290817008487215</v>
      </c>
      <c r="J46" s="1">
        <f t="shared" si="3"/>
        <v>3.0265679277938067</v>
      </c>
      <c r="K46" s="1">
        <f t="shared" si="4"/>
        <v>1.4620714022541257</v>
      </c>
      <c r="L46" s="1">
        <f t="shared" si="5"/>
        <v>1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1.9003002808457319</v>
      </c>
      <c r="I47" s="1">
        <f t="shared" si="2"/>
        <v>2.3437126293316943</v>
      </c>
      <c r="J47" s="1">
        <f t="shared" si="3"/>
        <v>2.3312863466862552</v>
      </c>
      <c r="K47" s="1">
        <f t="shared" si="4"/>
        <v>1.9003002808457319</v>
      </c>
      <c r="L47" s="1">
        <f t="shared" si="5"/>
        <v>1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1.5856850164316545</v>
      </c>
      <c r="I48" s="1">
        <f t="shared" si="2"/>
        <v>2.15707878597164</v>
      </c>
      <c r="J48" s="1">
        <f t="shared" si="3"/>
        <v>2.6339143353377916</v>
      </c>
      <c r="K48" s="1">
        <f t="shared" si="4"/>
        <v>1.5856850164316545</v>
      </c>
      <c r="L48" s="1">
        <f t="shared" si="5"/>
        <v>1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2.4246268941812508</v>
      </c>
      <c r="I49" s="1">
        <f t="shared" si="2"/>
        <v>2.7563845079298268</v>
      </c>
      <c r="J49" s="1">
        <f t="shared" si="3"/>
        <v>1.7387227783091141</v>
      </c>
      <c r="K49" s="1">
        <f t="shared" si="4"/>
        <v>1.7387227783091141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1.9003002808457319</v>
      </c>
      <c r="I50" s="1">
        <f t="shared" si="2"/>
        <v>2.3437126293316943</v>
      </c>
      <c r="J50" s="1">
        <f t="shared" si="3"/>
        <v>2.3312863466862552</v>
      </c>
      <c r="K50" s="1">
        <f t="shared" si="4"/>
        <v>1.9003002808457319</v>
      </c>
      <c r="L50" s="1">
        <f t="shared" si="5"/>
        <v>1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2.4000923905057827</v>
      </c>
      <c r="I51" s="1">
        <f t="shared" si="2"/>
        <v>0.94498089339884994</v>
      </c>
      <c r="J51" s="1">
        <f t="shared" si="3"/>
        <v>3.2351507504398982</v>
      </c>
      <c r="K51" s="1">
        <f t="shared" si="4"/>
        <v>0.94498089339884994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2.3976202822481056</v>
      </c>
      <c r="I52" s="1">
        <f t="shared" si="2"/>
        <v>1.0186537957302055</v>
      </c>
      <c r="J52" s="1">
        <f t="shared" si="3"/>
        <v>3.6249894074547018</v>
      </c>
      <c r="K52" s="1">
        <f t="shared" si="4"/>
        <v>1.0186537957302055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1.9003002808457319</v>
      </c>
      <c r="I53" s="1">
        <f t="shared" si="2"/>
        <v>2.3437126293316943</v>
      </c>
      <c r="J53" s="1">
        <f t="shared" si="3"/>
        <v>2.3312863466862552</v>
      </c>
      <c r="K53" s="1">
        <f t="shared" si="4"/>
        <v>1.9003002808457319</v>
      </c>
      <c r="L53" s="1">
        <f t="shared" si="5"/>
        <v>1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1.9656886465197858</v>
      </c>
      <c r="I54" s="1">
        <f t="shared" si="2"/>
        <v>0.29942537560393173</v>
      </c>
      <c r="J54" s="1">
        <f t="shared" si="3"/>
        <v>3.0028436428307796</v>
      </c>
      <c r="K54" s="1">
        <f t="shared" si="4"/>
        <v>0.29942537560393173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0.50483867484071288</v>
      </c>
      <c r="I55" s="1">
        <f t="shared" si="2"/>
        <v>1.9530289865289299</v>
      </c>
      <c r="J55" s="1">
        <f t="shared" si="3"/>
        <v>3.0894111490115801</v>
      </c>
      <c r="K55" s="1">
        <f t="shared" si="4"/>
        <v>0.50483867484071288</v>
      </c>
      <c r="L55" s="1">
        <f t="shared" si="5"/>
        <v>1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0.50483867484071288</v>
      </c>
      <c r="I56" s="1">
        <f t="shared" si="2"/>
        <v>1.9530289865289299</v>
      </c>
      <c r="J56" s="1">
        <f t="shared" si="3"/>
        <v>3.0894111490115801</v>
      </c>
      <c r="K56" s="1">
        <f t="shared" si="4"/>
        <v>0.50483867484071288</v>
      </c>
      <c r="L56" s="1">
        <f t="shared" si="5"/>
        <v>1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2.5367488337938506</v>
      </c>
      <c r="I57" s="1">
        <f t="shared" si="2"/>
        <v>1.4157408739674864</v>
      </c>
      <c r="J57" s="1">
        <f t="shared" si="3"/>
        <v>2.4582833237466675</v>
      </c>
      <c r="K57" s="1">
        <f t="shared" si="4"/>
        <v>1.4157408739674864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0.51645188810885945</v>
      </c>
      <c r="I58" s="1">
        <f t="shared" si="2"/>
        <v>1.9156345046891257</v>
      </c>
      <c r="J58" s="1">
        <f t="shared" si="3"/>
        <v>2.621090120837148</v>
      </c>
      <c r="K58" s="1">
        <f t="shared" si="4"/>
        <v>0.51645188810885945</v>
      </c>
      <c r="L58" s="1">
        <f t="shared" si="5"/>
        <v>1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1.3143135954367244</v>
      </c>
      <c r="I59" s="1">
        <f t="shared" si="2"/>
        <v>2.1586235326141407</v>
      </c>
      <c r="J59" s="1">
        <f t="shared" si="3"/>
        <v>1.8882083605509332</v>
      </c>
      <c r="K59" s="1">
        <f t="shared" si="4"/>
        <v>1.3143135954367244</v>
      </c>
      <c r="L59" s="1">
        <f t="shared" si="5"/>
        <v>1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2.6015159702429043</v>
      </c>
      <c r="I60" s="1">
        <f t="shared" si="2"/>
        <v>1.5147020242352032</v>
      </c>
      <c r="J60" s="1">
        <f t="shared" si="3"/>
        <v>2.4377699065338936</v>
      </c>
      <c r="K60" s="1">
        <f t="shared" si="4"/>
        <v>1.5147020242352032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1.0274043809686286</v>
      </c>
      <c r="I61" s="1">
        <f t="shared" si="2"/>
        <v>2.035760846028388</v>
      </c>
      <c r="J61" s="1">
        <f t="shared" si="3"/>
        <v>2.3621343397320564</v>
      </c>
      <c r="K61" s="1">
        <f t="shared" si="4"/>
        <v>1.0274043809686286</v>
      </c>
      <c r="L61" s="1">
        <f t="shared" si="5"/>
        <v>1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1.9659252497526265</v>
      </c>
      <c r="I62" s="1">
        <f t="shared" si="2"/>
        <v>0.45202015687602071</v>
      </c>
      <c r="J62" s="1">
        <f t="shared" si="3"/>
        <v>3.3572284680622331</v>
      </c>
      <c r="K62" s="1">
        <f t="shared" si="4"/>
        <v>0.45202015687602071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1.9659252497526265</v>
      </c>
      <c r="I63" s="1">
        <f t="shared" si="2"/>
        <v>0.45202015687602071</v>
      </c>
      <c r="J63" s="1">
        <f t="shared" si="3"/>
        <v>3.3572284680622331</v>
      </c>
      <c r="K63" s="1">
        <f t="shared" si="4"/>
        <v>0.45202015687602071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1.9905536787738338</v>
      </c>
      <c r="I64" s="1">
        <f t="shared" si="2"/>
        <v>0.24424486802296486</v>
      </c>
      <c r="J64" s="1">
        <f t="shared" si="3"/>
        <v>2.7956690783179501</v>
      </c>
      <c r="K64" s="1">
        <f t="shared" si="4"/>
        <v>0.24424486802296486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1.9905536787738338</v>
      </c>
      <c r="I65" s="1">
        <f t="shared" si="2"/>
        <v>0.24424486802296486</v>
      </c>
      <c r="J65" s="1">
        <f t="shared" si="3"/>
        <v>2.7956690783179501</v>
      </c>
      <c r="K65" s="1">
        <f t="shared" si="4"/>
        <v>0.24424486802296486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1.9689394487213683</v>
      </c>
      <c r="I66" s="1">
        <f t="shared" si="2"/>
        <v>0.24424486802296497</v>
      </c>
      <c r="J66" s="1">
        <f t="shared" si="3"/>
        <v>2.9320019032532247</v>
      </c>
      <c r="K66" s="1">
        <f t="shared" si="4"/>
        <v>0.24424486802296497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0.5935519758875738</v>
      </c>
      <c r="I67" s="1">
        <f t="shared" si="2"/>
        <v>1.9156345046891257</v>
      </c>
      <c r="J67" s="1">
        <f t="shared" si="3"/>
        <v>2.4676393286565812</v>
      </c>
      <c r="K67" s="1">
        <f t="shared" si="4"/>
        <v>0.5935519758875738</v>
      </c>
      <c r="L67" s="1">
        <f t="shared" si="5"/>
        <v>1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1.9656886465197858</v>
      </c>
      <c r="I68" s="1">
        <f t="shared" si="2"/>
        <v>0.29942537560393173</v>
      </c>
      <c r="J68" s="1">
        <f t="shared" si="3"/>
        <v>3.0028436428307796</v>
      </c>
      <c r="K68" s="1">
        <f t="shared" si="4"/>
        <v>0.29942537560393173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1.9656886465197858</v>
      </c>
      <c r="I69" s="1">
        <f t="shared" si="2"/>
        <v>0.29942537560393173</v>
      </c>
      <c r="J69" s="1">
        <f t="shared" si="3"/>
        <v>3.0028436428307796</v>
      </c>
      <c r="K69" s="1">
        <f t="shared" si="4"/>
        <v>0.29942537560393173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0.50483867484071288</v>
      </c>
      <c r="I70" s="1">
        <f t="shared" si="2"/>
        <v>1.9530289865289299</v>
      </c>
      <c r="J70" s="1">
        <f t="shared" si="3"/>
        <v>3.0894111490115801</v>
      </c>
      <c r="K70" s="1">
        <f t="shared" si="4"/>
        <v>0.50483867484071288</v>
      </c>
      <c r="L70" s="1">
        <f t="shared" si="5"/>
        <v>1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1.9659252497526265</v>
      </c>
      <c r="I71" s="1">
        <f t="shared" si="2"/>
        <v>0.45202015687602071</v>
      </c>
      <c r="J71" s="1">
        <f t="shared" si="3"/>
        <v>3.3572284680622331</v>
      </c>
      <c r="K71" s="1">
        <f t="shared" si="4"/>
        <v>0.45202015687602071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1.9659252497526265</v>
      </c>
      <c r="I72" s="1">
        <f t="shared" si="2"/>
        <v>0.45202015687602071</v>
      </c>
      <c r="J72" s="1">
        <f t="shared" si="3"/>
        <v>3.3572284680622331</v>
      </c>
      <c r="K72" s="1">
        <f t="shared" si="4"/>
        <v>0.45202015687602071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2.6253640711755724</v>
      </c>
      <c r="I73" s="1">
        <f t="shared" si="2"/>
        <v>3.0691457370994213</v>
      </c>
      <c r="J73" s="1">
        <f t="shared" si="3"/>
        <v>0.70595629547112349</v>
      </c>
      <c r="K73" s="1">
        <f t="shared" si="4"/>
        <v>0.70595629547112349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2.973014560338886</v>
      </c>
      <c r="I74" s="1">
        <f t="shared" si="2"/>
        <v>3.3608018223169429</v>
      </c>
      <c r="J74" s="1">
        <f t="shared" si="3"/>
        <v>0.79050365606096162</v>
      </c>
      <c r="K74" s="1">
        <f t="shared" si="4"/>
        <v>0.79050365606096162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0.50483867484071288</v>
      </c>
      <c r="I75" s="1">
        <f t="shared" ref="I75:I135" si="7">SQRT((($C75-$C$3)^2)+(($D75-$D$3)^2)+(($E75-$E$3)^2)+(($F75-$F$3)^2)+(($G75-$G$3)^2))</f>
        <v>1.9530289865289299</v>
      </c>
      <c r="J75" s="1">
        <f t="shared" ref="J75:J135" si="8">SQRT((($C75-$C$4)^2)+(($D75-$D$4)^2)+(($E75-$E$4)^2)+(($F75-$F$4)^2)+(($G75-$G$4)^2))</f>
        <v>3.0894111490115801</v>
      </c>
      <c r="K75" s="1">
        <f t="shared" ref="K75:K135" si="9">MIN(H75:J75)</f>
        <v>0.50483867484071288</v>
      </c>
      <c r="L75" s="1">
        <f t="shared" ref="L75:L135" si="10">IF(K75=J75, $J$9, IF(K75=I75, $I$9, IF(K75=H75, $H$9)))</f>
        <v>1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1.9659252497526265</v>
      </c>
      <c r="I76" s="1">
        <f t="shared" si="7"/>
        <v>0.45202015687602071</v>
      </c>
      <c r="J76" s="1">
        <f t="shared" si="8"/>
        <v>3.3572284680622331</v>
      </c>
      <c r="K76" s="1">
        <f t="shared" si="9"/>
        <v>0.45202015687602071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1.9659252497526265</v>
      </c>
      <c r="I77" s="1">
        <f t="shared" si="7"/>
        <v>0.45202015687602071</v>
      </c>
      <c r="J77" s="1">
        <f t="shared" si="8"/>
        <v>3.3572284680622331</v>
      </c>
      <c r="K77" s="1">
        <f t="shared" si="9"/>
        <v>0.45202015687602071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2.5367488337938506</v>
      </c>
      <c r="I78" s="1">
        <f t="shared" si="7"/>
        <v>1.4157408739674864</v>
      </c>
      <c r="J78" s="1">
        <f t="shared" si="8"/>
        <v>2.4582833237466675</v>
      </c>
      <c r="K78" s="1">
        <f t="shared" si="9"/>
        <v>1.4157408739674864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0.50483867484071288</v>
      </c>
      <c r="I79" s="1">
        <f t="shared" si="7"/>
        <v>1.9530289865289299</v>
      </c>
      <c r="J79" s="1">
        <f t="shared" si="8"/>
        <v>3.0894111490115801</v>
      </c>
      <c r="K79" s="1">
        <f t="shared" si="9"/>
        <v>0.50483867484071288</v>
      </c>
      <c r="L79" s="1">
        <f t="shared" si="10"/>
        <v>1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2.2593427206768322</v>
      </c>
      <c r="I80" s="1">
        <f t="shared" si="7"/>
        <v>0.92717611895235696</v>
      </c>
      <c r="J80" s="1">
        <f t="shared" si="8"/>
        <v>2.3435629572498309</v>
      </c>
      <c r="K80" s="1">
        <f t="shared" si="9"/>
        <v>0.92717611895235696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2.3102857457790389</v>
      </c>
      <c r="I81" s="1">
        <f t="shared" si="7"/>
        <v>1.0245269911308121</v>
      </c>
      <c r="J81" s="1">
        <f t="shared" si="8"/>
        <v>2.3004026934397546</v>
      </c>
      <c r="K81" s="1">
        <f t="shared" si="9"/>
        <v>1.0245269911308121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0.50483867484071288</v>
      </c>
      <c r="I82" s="1">
        <f t="shared" si="7"/>
        <v>1.9530289865289299</v>
      </c>
      <c r="J82" s="1">
        <f t="shared" si="8"/>
        <v>3.0894111490115801</v>
      </c>
      <c r="K82" s="1">
        <f t="shared" si="9"/>
        <v>0.50483867484071288</v>
      </c>
      <c r="L82" s="1">
        <f t="shared" si="10"/>
        <v>1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1.9689394487213683</v>
      </c>
      <c r="I83" s="1">
        <f t="shared" si="7"/>
        <v>0.24424486802296497</v>
      </c>
      <c r="J83" s="1">
        <f t="shared" si="8"/>
        <v>2.9320019032532247</v>
      </c>
      <c r="K83" s="1">
        <f t="shared" si="9"/>
        <v>0.24424486802296497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1.9952797190826075</v>
      </c>
      <c r="I84" s="1">
        <f t="shared" si="7"/>
        <v>1.1708923472671984</v>
      </c>
      <c r="J84" s="1">
        <f t="shared" si="8"/>
        <v>3.3765985502242022</v>
      </c>
      <c r="K84" s="1">
        <f t="shared" si="9"/>
        <v>1.1708923472671984</v>
      </c>
      <c r="L84" s="1">
        <f t="shared" si="10"/>
        <v>2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0.6084496074649316</v>
      </c>
      <c r="I85" s="1">
        <f t="shared" si="7"/>
        <v>2.2059742115950085</v>
      </c>
      <c r="J85" s="1">
        <f t="shared" si="8"/>
        <v>2.7241481212972776</v>
      </c>
      <c r="K85" s="1">
        <f t="shared" si="9"/>
        <v>0.6084496074649316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3.8452298137007448</v>
      </c>
      <c r="I86" s="1">
        <f t="shared" si="7"/>
        <v>3.3114431228024368</v>
      </c>
      <c r="J86" s="1">
        <f t="shared" si="8"/>
        <v>1.6721843134271512</v>
      </c>
      <c r="K86" s="1">
        <f t="shared" si="9"/>
        <v>1.6721843134271512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1.0825150492260942</v>
      </c>
      <c r="I87" s="1">
        <f t="shared" si="7"/>
        <v>2.3045582849841062</v>
      </c>
      <c r="J87" s="1">
        <f t="shared" si="8"/>
        <v>2.3895843616725676</v>
      </c>
      <c r="K87" s="1">
        <f t="shared" si="9"/>
        <v>1.0825150492260942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0.6084496074649316</v>
      </c>
      <c r="I88" s="1">
        <f t="shared" si="7"/>
        <v>2.2059742115950085</v>
      </c>
      <c r="J88" s="1">
        <f t="shared" si="8"/>
        <v>2.7241481212972776</v>
      </c>
      <c r="K88" s="1">
        <f t="shared" si="9"/>
        <v>0.6084496074649316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0.6188712487251673</v>
      </c>
      <c r="I89" s="1">
        <f t="shared" si="7"/>
        <v>2.1991639825675162</v>
      </c>
      <c r="J89" s="1">
        <f t="shared" si="8"/>
        <v>2.6458549098842874</v>
      </c>
      <c r="K89" s="1">
        <f t="shared" si="9"/>
        <v>0.6188712487251673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3.7702602148412683</v>
      </c>
      <c r="I90" s="1">
        <f t="shared" si="7"/>
        <v>4.183418325829833</v>
      </c>
      <c r="J90" s="1">
        <f t="shared" si="8"/>
        <v>1.3622648771304124</v>
      </c>
      <c r="K90" s="1">
        <f t="shared" si="9"/>
        <v>1.3622648771304124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0.60921355646634212</v>
      </c>
      <c r="I91" s="1">
        <f t="shared" si="7"/>
        <v>2.2318129152975357</v>
      </c>
      <c r="J91" s="1">
        <f t="shared" si="8"/>
        <v>3.1104494900650206</v>
      </c>
      <c r="K91" s="1">
        <f t="shared" si="9"/>
        <v>0.60921355646634212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0.6084496074649316</v>
      </c>
      <c r="I92" s="1">
        <f t="shared" si="7"/>
        <v>2.2059742115950085</v>
      </c>
      <c r="J92" s="1">
        <f t="shared" si="8"/>
        <v>2.7241481212972776</v>
      </c>
      <c r="K92" s="1">
        <f t="shared" si="9"/>
        <v>0.6084496074649316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1.0825150492260942</v>
      </c>
      <c r="I93" s="1">
        <f t="shared" si="7"/>
        <v>2.3045582849841062</v>
      </c>
      <c r="J93" s="1">
        <f t="shared" si="8"/>
        <v>2.3895843616725676</v>
      </c>
      <c r="K93" s="1">
        <f t="shared" si="9"/>
        <v>1.0825150492260942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1.9982496396843532</v>
      </c>
      <c r="I94" s="1">
        <f t="shared" si="7"/>
        <v>1.1073943390781003</v>
      </c>
      <c r="J94" s="1">
        <f t="shared" si="8"/>
        <v>2.9541614619531593</v>
      </c>
      <c r="K94" s="1">
        <f t="shared" si="9"/>
        <v>1.1073943390781003</v>
      </c>
      <c r="L94" s="1">
        <f t="shared" si="10"/>
        <v>2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2.0873320557282544</v>
      </c>
      <c r="I95" s="1">
        <f t="shared" si="7"/>
        <v>1.1731676019317199</v>
      </c>
      <c r="J95" s="1">
        <f t="shared" si="8"/>
        <v>2.6315197187643768</v>
      </c>
      <c r="K95" s="1">
        <f t="shared" si="9"/>
        <v>1.1731676019317199</v>
      </c>
      <c r="L95" s="1">
        <f t="shared" si="10"/>
        <v>2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2.0873320557282544</v>
      </c>
      <c r="I96" s="1">
        <f t="shared" si="7"/>
        <v>1.1731676019317199</v>
      </c>
      <c r="J96" s="1">
        <f t="shared" si="8"/>
        <v>2.6315197187643768</v>
      </c>
      <c r="K96" s="1">
        <f t="shared" si="9"/>
        <v>1.1731676019317199</v>
      </c>
      <c r="L96" s="1">
        <f t="shared" si="10"/>
        <v>2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1.995046597156124</v>
      </c>
      <c r="I97" s="1">
        <f t="shared" si="7"/>
        <v>1.1208578064242682</v>
      </c>
      <c r="J97" s="1">
        <f t="shared" si="8"/>
        <v>3.0244842082407906</v>
      </c>
      <c r="K97" s="1">
        <f t="shared" si="9"/>
        <v>1.1208578064242682</v>
      </c>
      <c r="L97" s="1">
        <f t="shared" si="10"/>
        <v>2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1.9982496396843532</v>
      </c>
      <c r="I98" s="1">
        <f t="shared" si="7"/>
        <v>1.1073943390781003</v>
      </c>
      <c r="J98" s="1">
        <f t="shared" si="8"/>
        <v>2.9541614619531593</v>
      </c>
      <c r="K98" s="1">
        <f t="shared" si="9"/>
        <v>1.1073943390781003</v>
      </c>
      <c r="L98" s="1">
        <f t="shared" si="10"/>
        <v>2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4.5553420461456424</v>
      </c>
      <c r="I99" s="1">
        <f t="shared" si="7"/>
        <v>4.0922270492022097</v>
      </c>
      <c r="J99" s="1">
        <f t="shared" si="8"/>
        <v>2.1653658059838312</v>
      </c>
      <c r="K99" s="1">
        <f t="shared" si="9"/>
        <v>2.1653658059838312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4.9548169416058379</v>
      </c>
      <c r="I100" s="1">
        <f t="shared" si="7"/>
        <v>4.5201388867550909</v>
      </c>
      <c r="J100" s="1">
        <f t="shared" si="8"/>
        <v>2.4969773788013669</v>
      </c>
      <c r="K100" s="1">
        <f t="shared" si="9"/>
        <v>2.4969773788013669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0.6084496074649316</v>
      </c>
      <c r="I101" s="1">
        <f t="shared" si="7"/>
        <v>2.2059742115950085</v>
      </c>
      <c r="J101" s="1">
        <f t="shared" si="8"/>
        <v>2.7241481212972776</v>
      </c>
      <c r="K101" s="1">
        <f t="shared" si="9"/>
        <v>0.6084496074649316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0.60921355646634212</v>
      </c>
      <c r="I102" s="1">
        <f t="shared" si="7"/>
        <v>2.2318129152975357</v>
      </c>
      <c r="J102" s="1">
        <f t="shared" si="8"/>
        <v>3.1104494900650206</v>
      </c>
      <c r="K102" s="1">
        <f t="shared" si="9"/>
        <v>0.60921355646634212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4.8752556755075336</v>
      </c>
      <c r="I103" s="1">
        <f t="shared" si="7"/>
        <v>5.1774178463357146</v>
      </c>
      <c r="J103" s="1">
        <f t="shared" si="8"/>
        <v>2.4213956512331816</v>
      </c>
      <c r="K103" s="1">
        <f t="shared" si="9"/>
        <v>2.4213956512331816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1.9982496396843532</v>
      </c>
      <c r="I104" s="1">
        <f t="shared" si="7"/>
        <v>1.1073943390781003</v>
      </c>
      <c r="J104" s="1">
        <f t="shared" si="8"/>
        <v>2.9541614619531593</v>
      </c>
      <c r="K104" s="1">
        <f t="shared" si="9"/>
        <v>1.1073943390781003</v>
      </c>
      <c r="L104" s="1">
        <f t="shared" si="10"/>
        <v>2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3.3965751210198789</v>
      </c>
      <c r="I105" s="1">
        <f t="shared" si="7"/>
        <v>3.9783986169758747</v>
      </c>
      <c r="J105" s="1">
        <f t="shared" si="8"/>
        <v>2.6441289244997455</v>
      </c>
      <c r="K105" s="1">
        <f t="shared" si="9"/>
        <v>2.6441289244997455</v>
      </c>
      <c r="L105" s="1">
        <f t="shared" si="10"/>
        <v>3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5.881008198978483</v>
      </c>
      <c r="I106" s="1">
        <f t="shared" si="7"/>
        <v>5.5944307624239622</v>
      </c>
      <c r="J106" s="1">
        <f t="shared" si="8"/>
        <v>3.4822070006625303</v>
      </c>
      <c r="K106" s="1">
        <f t="shared" si="9"/>
        <v>3.4822070006625303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3.6653914723743299</v>
      </c>
      <c r="I107" s="1">
        <f t="shared" si="7"/>
        <v>4.1949559658660958</v>
      </c>
      <c r="J107" s="1">
        <f t="shared" si="8"/>
        <v>2.7550160474215195</v>
      </c>
      <c r="K107" s="1">
        <f t="shared" si="9"/>
        <v>2.7550160474215195</v>
      </c>
      <c r="L107" s="1">
        <f t="shared" si="10"/>
        <v>3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6.1041714097199824</v>
      </c>
      <c r="I108" s="1">
        <f t="shared" si="7"/>
        <v>6.4025767382272649</v>
      </c>
      <c r="J108" s="1">
        <f t="shared" si="8"/>
        <v>3.6829962323680228</v>
      </c>
      <c r="K108" s="1">
        <f t="shared" si="9"/>
        <v>3.6829962323680228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1.5771557396623237</v>
      </c>
      <c r="I109" s="1">
        <f t="shared" si="7"/>
        <v>2.8544098436551737</v>
      </c>
      <c r="J109" s="1">
        <f t="shared" si="8"/>
        <v>3.4358886496588394</v>
      </c>
      <c r="K109" s="1">
        <f t="shared" si="9"/>
        <v>1.5771557396623237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6.7481247520337293</v>
      </c>
      <c r="I110" s="1">
        <f t="shared" si="7"/>
        <v>6.4790680056796921</v>
      </c>
      <c r="J110" s="1">
        <f t="shared" si="8"/>
        <v>4.2588149438427019</v>
      </c>
      <c r="K110" s="1">
        <f t="shared" si="9"/>
        <v>4.2588149438427019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4.6434476710372685</v>
      </c>
      <c r="I111" s="1">
        <f t="shared" si="7"/>
        <v>5.0347117317898364</v>
      </c>
      <c r="J111" s="1">
        <f t="shared" si="8"/>
        <v>2.3617661841314046</v>
      </c>
      <c r="K111" s="1">
        <f t="shared" si="9"/>
        <v>2.3617661841314046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1.5809113486423234</v>
      </c>
      <c r="I112" s="1">
        <f t="shared" si="7"/>
        <v>2.8289554413049505</v>
      </c>
      <c r="J112" s="1">
        <f t="shared" si="8"/>
        <v>3.0217516421386263</v>
      </c>
      <c r="K112" s="1">
        <f t="shared" si="9"/>
        <v>1.5809113486423234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2.4692954920684991</v>
      </c>
      <c r="I113" s="1">
        <f t="shared" si="7"/>
        <v>2.1301773530754562</v>
      </c>
      <c r="J113" s="1">
        <f t="shared" si="8"/>
        <v>3.6785666436786051</v>
      </c>
      <c r="K113" s="1">
        <f t="shared" si="9"/>
        <v>2.1301773530754562</v>
      </c>
      <c r="L113" s="1">
        <f t="shared" si="10"/>
        <v>2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2.4692954920684991</v>
      </c>
      <c r="I114" s="1">
        <f t="shared" si="7"/>
        <v>2.1301773530754562</v>
      </c>
      <c r="J114" s="1">
        <f t="shared" si="8"/>
        <v>3.6785666436786051</v>
      </c>
      <c r="K114" s="1">
        <f t="shared" si="9"/>
        <v>2.1301773530754562</v>
      </c>
      <c r="L114" s="1">
        <f t="shared" si="10"/>
        <v>2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2.4889479881297092</v>
      </c>
      <c r="I115" s="1">
        <f t="shared" si="7"/>
        <v>2.0959458220309251</v>
      </c>
      <c r="J115" s="1">
        <f t="shared" si="8"/>
        <v>3.1743716166637657</v>
      </c>
      <c r="K115" s="1">
        <f t="shared" si="9"/>
        <v>2.0959458220309251</v>
      </c>
      <c r="L115" s="1">
        <f t="shared" si="10"/>
        <v>2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2.4691071249728456</v>
      </c>
      <c r="I116" s="1">
        <f t="shared" si="7"/>
        <v>2.1030903187663839</v>
      </c>
      <c r="J116" s="1">
        <f t="shared" si="8"/>
        <v>3.3582643595325572</v>
      </c>
      <c r="K116" s="1">
        <f t="shared" si="9"/>
        <v>2.1030903187663839</v>
      </c>
      <c r="L116" s="1">
        <f t="shared" si="10"/>
        <v>2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2.4692954920684991</v>
      </c>
      <c r="I117" s="1">
        <f t="shared" si="7"/>
        <v>2.1301773530754562</v>
      </c>
      <c r="J117" s="1">
        <f t="shared" si="8"/>
        <v>3.6785666436786051</v>
      </c>
      <c r="K117" s="1">
        <f t="shared" si="9"/>
        <v>2.1301773530754562</v>
      </c>
      <c r="L117" s="1">
        <f t="shared" si="10"/>
        <v>2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2.4692954920684991</v>
      </c>
      <c r="I118" s="1">
        <f t="shared" si="7"/>
        <v>2.1301773530754562</v>
      </c>
      <c r="J118" s="1">
        <f t="shared" si="8"/>
        <v>3.6785666436786051</v>
      </c>
      <c r="K118" s="1">
        <f t="shared" si="9"/>
        <v>2.1301773530754562</v>
      </c>
      <c r="L118" s="1">
        <f t="shared" si="10"/>
        <v>2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1.5771557396623237</v>
      </c>
      <c r="I119" s="1">
        <f t="shared" si="7"/>
        <v>2.8544098436551737</v>
      </c>
      <c r="J119" s="1">
        <f t="shared" si="8"/>
        <v>3.4358886496588394</v>
      </c>
      <c r="K119" s="1">
        <f t="shared" si="9"/>
        <v>1.5771557396623237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1.5771557396623237</v>
      </c>
      <c r="I120" s="1">
        <f t="shared" si="7"/>
        <v>2.8544098436551737</v>
      </c>
      <c r="J120" s="1">
        <f t="shared" si="8"/>
        <v>3.4358886496588394</v>
      </c>
      <c r="K120" s="1">
        <f t="shared" si="9"/>
        <v>1.5771557396623237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2.4691071249728456</v>
      </c>
      <c r="I121" s="1">
        <f t="shared" si="7"/>
        <v>2.1030903187663839</v>
      </c>
      <c r="J121" s="1">
        <f t="shared" si="8"/>
        <v>3.3582643595325572</v>
      </c>
      <c r="K121" s="1">
        <f t="shared" si="9"/>
        <v>2.1030903187663839</v>
      </c>
      <c r="L121" s="1">
        <f t="shared" si="10"/>
        <v>2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2.4692954920684991</v>
      </c>
      <c r="I122" s="1">
        <f t="shared" si="7"/>
        <v>2.1301773530754562</v>
      </c>
      <c r="J122" s="1">
        <f t="shared" si="8"/>
        <v>3.6785666436786051</v>
      </c>
      <c r="K122" s="1">
        <f t="shared" si="9"/>
        <v>2.1301773530754562</v>
      </c>
      <c r="L122" s="1">
        <f t="shared" si="10"/>
        <v>2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1.5771557396623237</v>
      </c>
      <c r="I123" s="1">
        <f t="shared" si="7"/>
        <v>2.8544098436551737</v>
      </c>
      <c r="J123" s="1">
        <f t="shared" si="8"/>
        <v>3.4358886496588394</v>
      </c>
      <c r="K123" s="1">
        <f t="shared" si="9"/>
        <v>1.5771557396623237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1.5771557396623237</v>
      </c>
      <c r="I124" s="1">
        <f t="shared" si="7"/>
        <v>2.8544098436551737</v>
      </c>
      <c r="J124" s="1">
        <f t="shared" si="8"/>
        <v>3.4358886496588394</v>
      </c>
      <c r="K124" s="1">
        <f t="shared" si="9"/>
        <v>1.5771557396623237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1.5771557396623237</v>
      </c>
      <c r="I125" s="1">
        <f t="shared" si="7"/>
        <v>2.8544098436551737</v>
      </c>
      <c r="J125" s="1">
        <f t="shared" si="8"/>
        <v>3.4358886496588394</v>
      </c>
      <c r="K125" s="1">
        <f t="shared" si="9"/>
        <v>1.5771557396623237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2.5697663895609759</v>
      </c>
      <c r="I126" s="1">
        <f t="shared" si="7"/>
        <v>3.648879584505663</v>
      </c>
      <c r="J126" s="1">
        <f t="shared" si="8"/>
        <v>3.9919626245072908</v>
      </c>
      <c r="K126" s="1">
        <f t="shared" si="9"/>
        <v>2.5697663895609759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3.1958878730201494</v>
      </c>
      <c r="I127" s="1">
        <f t="shared" si="7"/>
        <v>3.1151761141582703</v>
      </c>
      <c r="J127" s="1">
        <f t="shared" si="8"/>
        <v>4.2026524165809347</v>
      </c>
      <c r="K127" s="1">
        <f t="shared" si="9"/>
        <v>3.1151761141582703</v>
      </c>
      <c r="L127" s="1">
        <f t="shared" si="10"/>
        <v>2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2.5720730475695146</v>
      </c>
      <c r="I128" s="1">
        <f t="shared" si="7"/>
        <v>3.6290020054493706</v>
      </c>
      <c r="J128" s="1">
        <f t="shared" si="8"/>
        <v>3.6416229581570057</v>
      </c>
      <c r="K128" s="1">
        <f t="shared" si="9"/>
        <v>2.5720730475695146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3.19774291681391</v>
      </c>
      <c r="I129" s="1">
        <f t="shared" si="7"/>
        <v>3.091869265598977</v>
      </c>
      <c r="J129" s="1">
        <f t="shared" si="8"/>
        <v>3.8714260303545278</v>
      </c>
      <c r="K129" s="1">
        <f t="shared" si="9"/>
        <v>3.091869265598977</v>
      </c>
      <c r="L129" s="1">
        <f t="shared" si="10"/>
        <v>2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2.5720730475695146</v>
      </c>
      <c r="I130" s="1">
        <f t="shared" si="7"/>
        <v>3.6290020054493706</v>
      </c>
      <c r="J130" s="1">
        <f t="shared" si="8"/>
        <v>3.6416229581570057</v>
      </c>
      <c r="K130" s="1">
        <f t="shared" si="9"/>
        <v>2.5720730475695146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5.0495661102285228</v>
      </c>
      <c r="I131" s="1">
        <f t="shared" si="7"/>
        <v>4.8201993965210832</v>
      </c>
      <c r="J131" s="1">
        <f t="shared" si="8"/>
        <v>3.8967244254164353</v>
      </c>
      <c r="K131" s="1">
        <f t="shared" si="9"/>
        <v>3.8967244254164353</v>
      </c>
      <c r="L131" s="1">
        <f t="shared" si="10"/>
        <v>3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3.1958878730201494</v>
      </c>
      <c r="I132" s="1">
        <f t="shared" si="7"/>
        <v>3.1151761141582703</v>
      </c>
      <c r="J132" s="1">
        <f t="shared" si="8"/>
        <v>4.2026524165809347</v>
      </c>
      <c r="K132" s="1">
        <f t="shared" si="9"/>
        <v>3.1151761141582703</v>
      </c>
      <c r="L132" s="1">
        <f t="shared" si="10"/>
        <v>2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2.5697663895609759</v>
      </c>
      <c r="I133" s="1">
        <f t="shared" si="7"/>
        <v>3.648879584505663</v>
      </c>
      <c r="J133" s="1">
        <f t="shared" si="8"/>
        <v>3.9919626245072908</v>
      </c>
      <c r="K133" s="1">
        <f t="shared" si="9"/>
        <v>2.5697663895609759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2.5697663895609759</v>
      </c>
      <c r="I134" s="1">
        <f t="shared" si="7"/>
        <v>3.648879584505663</v>
      </c>
      <c r="J134" s="1">
        <f t="shared" si="8"/>
        <v>3.9919626245072908</v>
      </c>
      <c r="K134" s="1">
        <f t="shared" si="9"/>
        <v>2.5697663895609759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2.5697663895609759</v>
      </c>
      <c r="I135" s="1">
        <f t="shared" si="7"/>
        <v>3.648879584505663</v>
      </c>
      <c r="J135" s="1">
        <f t="shared" si="8"/>
        <v>3.9919626245072908</v>
      </c>
      <c r="K135" s="1">
        <f t="shared" si="9"/>
        <v>2.5697663895609759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DA05-BAAA-9B4A-8E78-D083AF6C97BF}">
  <dimension ref="A1:L135"/>
  <sheetViews>
    <sheetView workbookViewId="0">
      <selection sqref="A1:L135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2'!$L$10:$L$135,$A$2,'iterasi 2'!C$10:C$135)/$B$2</f>
        <v>0</v>
      </c>
      <c r="D2" s="3">
        <f>SUMIF('iterasi 2'!$L$10:$L$135,$A$2,'iterasi 2'!D$10:D$135)/$B$2</f>
        <v>-0.34418604651162782</v>
      </c>
      <c r="E2" s="3">
        <f>SUMIF('iterasi 2'!$L$10:$L$135,$A$2,'iterasi 2'!E$10:E$135)/$B$2</f>
        <v>-0.43488372093023236</v>
      </c>
      <c r="F2" s="3">
        <f>SUMIF('iterasi 2'!$L$10:$L$135,$A$2,'iterasi 2'!F$10:F$135)/$B$2</f>
        <v>-1.1860465116279071</v>
      </c>
      <c r="G2" s="3">
        <f>SUMIF('iterasi 2'!$L$10:$L$135,$A$2,'iterasi 2'!G$10:G$135)/$B$2</f>
        <v>3.7906976744186047</v>
      </c>
      <c r="H2" s="1"/>
      <c r="I2" s="1"/>
      <c r="J2" s="1"/>
      <c r="K2" s="1">
        <v>1</v>
      </c>
      <c r="L2" s="1">
        <f>COUNTIF($L$10:$L$135,A2)</f>
        <v>40</v>
      </c>
    </row>
    <row r="3" spans="1:12">
      <c r="A3" s="13">
        <v>2</v>
      </c>
      <c r="B3" s="9">
        <f>'iterasi 1'!L3</f>
        <v>60</v>
      </c>
      <c r="C3" s="3">
        <f>SUMIF('iterasi 2'!$L$10:$L$135,$A$3,'iterasi 2'!C$10:C$135)/$B$3</f>
        <v>0</v>
      </c>
      <c r="D3" s="3">
        <f>SUMIF('iterasi 2'!$L$10:$L$135,$A$3,'iterasi 2'!D$10:D$135)/$B$3</f>
        <v>-0.30666666666666659</v>
      </c>
      <c r="E3" s="3">
        <f>SUMIF('iterasi 2'!$L$10:$L$135,$A$3,'iterasi 2'!E$10:E$135)/$B$3</f>
        <v>-0.29999999999999988</v>
      </c>
      <c r="F3" s="3">
        <f>SUMIF('iterasi 2'!$L$10:$L$135,$A$3,'iterasi 2'!F$10:F$135)/$B$3</f>
        <v>0.89999999999999902</v>
      </c>
      <c r="G3" s="3">
        <f>SUMIF('iterasi 2'!$L$10:$L$135,$A$3,'iterasi 2'!G$10:G$135)/$B$3</f>
        <v>2.9166666666666665</v>
      </c>
      <c r="H3" s="1"/>
      <c r="I3" s="1"/>
      <c r="J3" s="1"/>
      <c r="K3" s="1">
        <v>2</v>
      </c>
      <c r="L3" s="1">
        <f t="shared" ref="L3:L4" si="0">COUNTIF($L$10:$L$135,A3)</f>
        <v>68</v>
      </c>
    </row>
    <row r="4" spans="1:12">
      <c r="A4" s="13">
        <v>3</v>
      </c>
      <c r="B4" s="9">
        <f>'iterasi 1'!L4</f>
        <v>23</v>
      </c>
      <c r="C4" s="3">
        <f>SUMIF('iterasi 2'!$L$10:$L$135,$A$4,'iterasi 2'!C$10:C$135)/$B$4</f>
        <v>0</v>
      </c>
      <c r="D4" s="3">
        <f>SUMIF('iterasi 2'!$L$10:$L$135,$A$4,'iterasi 2'!D$10:D$135)/$B$4</f>
        <v>1.3956521739130436</v>
      </c>
      <c r="E4" s="3">
        <f>SUMIF('iterasi 2'!$L$10:$L$135,$A$4,'iterasi 2'!E$10:E$135)/$B$4</f>
        <v>1.5043478260869569</v>
      </c>
      <c r="F4" s="3">
        <f>SUMIF('iterasi 2'!$L$10:$L$135,$A$4,'iterasi 2'!F$10:F$135)/$B$4</f>
        <v>-0.15652173913043479</v>
      </c>
      <c r="G4" s="3">
        <f>SUMIF('iterasi 2'!$L$10:$L$135,$A$4,'iterasi 2'!G$10:G$135)/$B$4</f>
        <v>2.7826086956521738</v>
      </c>
      <c r="H4" s="1"/>
      <c r="I4" s="1"/>
      <c r="J4" s="1"/>
      <c r="K4" s="1">
        <v>3</v>
      </c>
      <c r="L4" s="1">
        <f t="shared" si="0"/>
        <v>18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2.8137468692161698</v>
      </c>
      <c r="I10" s="1">
        <f>SQRT((($C10-$C$3)^2)+(($D10-$D$3)^2)+(($E10-$E$3)^2)+(($F10-$F$3)^2)+(($G10-$G$3)^2))</f>
        <v>2.7351396470544032</v>
      </c>
      <c r="J10" s="1">
        <f>SQRT((($C10-$C$4)^2)+(($D10-$D$4)^2)+(($E10-$E$4)^2)+(($F10-$F$4)^2)+(($G10-$G$4)^2))</f>
        <v>3.5130892162326068</v>
      </c>
      <c r="K10" s="1">
        <f>MIN(H10:J10)</f>
        <v>2.7351396470544032</v>
      </c>
      <c r="L10" s="1">
        <f>IF(K10=J10, $J$9, IF(K10=I10, $I$9, IF(K10=H10, $H$9)))</f>
        <v>2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3.4933437440067703</v>
      </c>
      <c r="I11" s="1">
        <f t="shared" ref="I11:I74" si="2">SQRT((($C11-$C$3)^2)+(($D11-$D$3)^2)+(($E11-$E$3)^2)+(($F11-$F$3)^2)+(($G11-$G$3)^2))</f>
        <v>1.9381233764191128</v>
      </c>
      <c r="J11" s="1">
        <f t="shared" ref="J11:J74" si="3">SQRT((($C11-$C$4)^2)+(($D11-$D$4)^2)+(($E11-$E$4)^2)+(($F11-$F$4)^2)+(($G11-$G$4)^2))</f>
        <v>3.2478173563703159</v>
      </c>
      <c r="K11" s="1">
        <f t="shared" ref="K11:K74" si="4">MIN(H11:J11)</f>
        <v>1.9381233764191128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3.4977347223895991</v>
      </c>
      <c r="I12" s="1">
        <f t="shared" si="2"/>
        <v>1.9674828814728957</v>
      </c>
      <c r="J12" s="1">
        <f t="shared" si="3"/>
        <v>3.5702350692784202</v>
      </c>
      <c r="K12" s="1">
        <f t="shared" si="4"/>
        <v>1.9674828814728957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3.4933437440067703</v>
      </c>
      <c r="I13" s="1">
        <f t="shared" si="2"/>
        <v>1.9381233764191128</v>
      </c>
      <c r="J13" s="1">
        <f t="shared" si="3"/>
        <v>3.2478173563703159</v>
      </c>
      <c r="K13" s="1">
        <f t="shared" si="4"/>
        <v>1.9381233764191128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3.4977347223895991</v>
      </c>
      <c r="I14" s="1">
        <f t="shared" si="2"/>
        <v>1.9674828814728957</v>
      </c>
      <c r="J14" s="1">
        <f t="shared" si="3"/>
        <v>3.5702350692784202</v>
      </c>
      <c r="K14" s="1">
        <f t="shared" si="4"/>
        <v>1.9674828814728957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2.8077482995794405</v>
      </c>
      <c r="I15" s="1">
        <f t="shared" si="2"/>
        <v>2.7085646055101247</v>
      </c>
      <c r="J15" s="1">
        <f t="shared" si="3"/>
        <v>3.1229257766439509</v>
      </c>
      <c r="K15" s="1">
        <f t="shared" si="4"/>
        <v>2.7085646055101247</v>
      </c>
      <c r="L15" s="1">
        <f t="shared" si="5"/>
        <v>2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2.8077482995794405</v>
      </c>
      <c r="I16" s="1">
        <f t="shared" si="2"/>
        <v>2.7085646055101247</v>
      </c>
      <c r="J16" s="1">
        <f t="shared" si="3"/>
        <v>3.1229257766439509</v>
      </c>
      <c r="K16" s="1">
        <f t="shared" si="4"/>
        <v>2.7085646055101247</v>
      </c>
      <c r="L16" s="1">
        <f t="shared" si="5"/>
        <v>2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3.4977347223895991</v>
      </c>
      <c r="I17" s="1">
        <f t="shared" si="2"/>
        <v>1.9674828814728957</v>
      </c>
      <c r="J17" s="1">
        <f t="shared" si="3"/>
        <v>3.5702350692784202</v>
      </c>
      <c r="K17" s="1">
        <f t="shared" si="4"/>
        <v>1.9674828814728957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3.4977347223895991</v>
      </c>
      <c r="I18" s="1">
        <f>SQRT((($C18-$C$3)^2)+(($D18-$D$3)^2)+(($E18-$E$3)^2)+(($F18-$F$3)^2)+(($G18-$G$3)^2))</f>
        <v>1.9674828814728957</v>
      </c>
      <c r="J18" s="1">
        <f t="shared" si="3"/>
        <v>3.5702350692784202</v>
      </c>
      <c r="K18" s="1">
        <f t="shared" si="4"/>
        <v>1.9674828814728957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2.8082866252583965</v>
      </c>
      <c r="I19" s="1">
        <f t="shared" si="2"/>
        <v>2.7140969441459193</v>
      </c>
      <c r="J19" s="1">
        <f t="shared" si="3"/>
        <v>3.184891673455255</v>
      </c>
      <c r="K19" s="1">
        <f t="shared" si="4"/>
        <v>2.7140969441459193</v>
      </c>
      <c r="L19" s="1">
        <f t="shared" si="5"/>
        <v>2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2.8173398804835976</v>
      </c>
      <c r="I20" s="1">
        <f t="shared" si="2"/>
        <v>2.7085646055101247</v>
      </c>
      <c r="J20" s="1">
        <f t="shared" si="3"/>
        <v>3.0051499589858142</v>
      </c>
      <c r="K20" s="1">
        <f t="shared" si="4"/>
        <v>2.7085646055101247</v>
      </c>
      <c r="L20" s="1">
        <f t="shared" si="5"/>
        <v>2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2.8082866252583965</v>
      </c>
      <c r="I21" s="1">
        <f t="shared" si="2"/>
        <v>2.7140969441459193</v>
      </c>
      <c r="J21" s="1">
        <f t="shared" si="3"/>
        <v>3.184891673455255</v>
      </c>
      <c r="K21" s="1">
        <f t="shared" si="4"/>
        <v>2.7140969441459193</v>
      </c>
      <c r="L21" s="1">
        <f t="shared" si="5"/>
        <v>2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3.5698295578263641</v>
      </c>
      <c r="I22" s="1">
        <f t="shared" si="2"/>
        <v>2.0326474252943019</v>
      </c>
      <c r="J22" s="1">
        <f t="shared" si="3"/>
        <v>2.7852195631804104</v>
      </c>
      <c r="K22" s="1">
        <f t="shared" si="4"/>
        <v>2.0326474252943019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2.8580297819864424</v>
      </c>
      <c r="I23" s="1">
        <f t="shared" si="2"/>
        <v>2.7361144388022622</v>
      </c>
      <c r="J23" s="1">
        <f t="shared" si="3"/>
        <v>2.845754307796136</v>
      </c>
      <c r="K23" s="1">
        <f t="shared" si="4"/>
        <v>2.7361144388022622</v>
      </c>
      <c r="L23" s="1">
        <f t="shared" si="5"/>
        <v>2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2.8137468692161698</v>
      </c>
      <c r="I24" s="1">
        <f t="shared" si="2"/>
        <v>2.7351396470544032</v>
      </c>
      <c r="J24" s="1">
        <f t="shared" si="3"/>
        <v>3.5130892162326068</v>
      </c>
      <c r="K24" s="1">
        <f t="shared" si="4"/>
        <v>2.7351396470544032</v>
      </c>
      <c r="L24" s="1">
        <f t="shared" si="5"/>
        <v>2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3.4933437440067703</v>
      </c>
      <c r="I25" s="1">
        <f t="shared" si="2"/>
        <v>1.9381233764191128</v>
      </c>
      <c r="J25" s="1">
        <f t="shared" si="3"/>
        <v>3.2478173563703159</v>
      </c>
      <c r="K25" s="1">
        <f t="shared" si="4"/>
        <v>1.9381233764191128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3.4977347223895991</v>
      </c>
      <c r="I26" s="1">
        <f t="shared" si="2"/>
        <v>1.9674828814728957</v>
      </c>
      <c r="J26" s="1">
        <f t="shared" si="3"/>
        <v>3.5702350692784202</v>
      </c>
      <c r="K26" s="1">
        <f t="shared" si="4"/>
        <v>1.9674828814728957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2.8137468692161698</v>
      </c>
      <c r="I27" s="1">
        <f t="shared" si="2"/>
        <v>2.7351396470544032</v>
      </c>
      <c r="J27" s="1">
        <f t="shared" si="3"/>
        <v>3.5130892162326068</v>
      </c>
      <c r="K27" s="1">
        <f t="shared" si="4"/>
        <v>2.7351396470544032</v>
      </c>
      <c r="L27" s="1">
        <f t="shared" si="5"/>
        <v>2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2.8137468692161698</v>
      </c>
      <c r="I28" s="1">
        <f t="shared" si="2"/>
        <v>2.7351396470544032</v>
      </c>
      <c r="J28" s="1">
        <f t="shared" si="3"/>
        <v>3.5130892162326068</v>
      </c>
      <c r="K28" s="1">
        <f t="shared" si="4"/>
        <v>2.7351396470544032</v>
      </c>
      <c r="L28" s="1">
        <f t="shared" si="5"/>
        <v>2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3.4977347223895991</v>
      </c>
      <c r="I29" s="1">
        <f t="shared" si="2"/>
        <v>1.9674828814728957</v>
      </c>
      <c r="J29" s="1">
        <f t="shared" si="3"/>
        <v>3.5702350692784202</v>
      </c>
      <c r="K29" s="1">
        <f t="shared" si="4"/>
        <v>1.9674828814728957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3.0420631466506154</v>
      </c>
      <c r="I30" s="1">
        <f t="shared" si="2"/>
        <v>2.9095799620487406</v>
      </c>
      <c r="J30" s="1">
        <f t="shared" si="3"/>
        <v>2.4439037228228164</v>
      </c>
      <c r="K30" s="1">
        <f t="shared" si="4"/>
        <v>2.4439037228228164</v>
      </c>
      <c r="L30" s="1">
        <f t="shared" si="5"/>
        <v>3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3.4977347223895991</v>
      </c>
      <c r="I31" s="1">
        <f t="shared" si="2"/>
        <v>1.9674828814728957</v>
      </c>
      <c r="J31" s="1">
        <f t="shared" si="3"/>
        <v>3.5702350692784202</v>
      </c>
      <c r="K31" s="1">
        <f t="shared" si="4"/>
        <v>1.9674828814728957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3.4977347223895991</v>
      </c>
      <c r="I32" s="1">
        <f t="shared" si="2"/>
        <v>1.9674828814728957</v>
      </c>
      <c r="J32" s="1">
        <f t="shared" si="3"/>
        <v>3.5702350692784202</v>
      </c>
      <c r="K32" s="1">
        <f t="shared" si="4"/>
        <v>1.9674828814728957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2.8082866252583965</v>
      </c>
      <c r="I33" s="1">
        <f t="shared" si="2"/>
        <v>2.7140969441459193</v>
      </c>
      <c r="J33" s="1">
        <f t="shared" si="3"/>
        <v>3.184891673455255</v>
      </c>
      <c r="K33" s="1">
        <f t="shared" si="4"/>
        <v>2.7140969441459193</v>
      </c>
      <c r="L33" s="1">
        <f t="shared" si="5"/>
        <v>2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3.5862086350707978</v>
      </c>
      <c r="I34" s="1">
        <f t="shared" si="2"/>
        <v>2.0496314031768952</v>
      </c>
      <c r="J34" s="1">
        <f t="shared" si="3"/>
        <v>3.0177828338888433</v>
      </c>
      <c r="K34" s="1">
        <f t="shared" si="4"/>
        <v>2.0496314031768952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2.8774115147853196</v>
      </c>
      <c r="I35" s="1">
        <f t="shared" si="2"/>
        <v>1.1694680652140763</v>
      </c>
      <c r="J35" s="1">
        <f t="shared" si="3"/>
        <v>2.5576934611500715</v>
      </c>
      <c r="K35" s="1">
        <f t="shared" si="4"/>
        <v>1.1694680652140763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2.9476769414236257</v>
      </c>
      <c r="I36" s="1">
        <f t="shared" si="2"/>
        <v>1.3011490648226622</v>
      </c>
      <c r="J36" s="1">
        <f t="shared" si="3"/>
        <v>2.1871293906956244</v>
      </c>
      <c r="K36" s="1">
        <f t="shared" si="4"/>
        <v>1.3011490648226622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1.8264107137187373</v>
      </c>
      <c r="I37" s="1">
        <f t="shared" si="2"/>
        <v>2.1558421917096697</v>
      </c>
      <c r="J37" s="1">
        <f t="shared" si="3"/>
        <v>3.1267520608301331</v>
      </c>
      <c r="K37" s="1">
        <f t="shared" si="4"/>
        <v>1.8264107137187373</v>
      </c>
      <c r="L37" s="1">
        <f t="shared" si="5"/>
        <v>1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2.8774115147853196</v>
      </c>
      <c r="I38" s="1">
        <f t="shared" si="2"/>
        <v>1.1694680652140763</v>
      </c>
      <c r="J38" s="1">
        <f t="shared" si="3"/>
        <v>2.5576934611500715</v>
      </c>
      <c r="K38" s="1">
        <f t="shared" si="4"/>
        <v>1.1694680652140763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1.893921562759203</v>
      </c>
      <c r="I39" s="1">
        <f t="shared" si="2"/>
        <v>2.15707878597164</v>
      </c>
      <c r="J39" s="1">
        <f t="shared" si="3"/>
        <v>2.3522542781416975</v>
      </c>
      <c r="K39" s="1">
        <f t="shared" si="4"/>
        <v>1.893921562759203</v>
      </c>
      <c r="L39" s="1">
        <f t="shared" si="5"/>
        <v>1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2.7602593916405898</v>
      </c>
      <c r="I40" s="1">
        <f t="shared" si="2"/>
        <v>0.94498089339884994</v>
      </c>
      <c r="J40" s="1">
        <f t="shared" si="3"/>
        <v>2.7554002656272152</v>
      </c>
      <c r="K40" s="1">
        <f t="shared" si="4"/>
        <v>0.94498089339884994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2.8774115147853196</v>
      </c>
      <c r="I41" s="1">
        <f t="shared" si="2"/>
        <v>1.1694680652140763</v>
      </c>
      <c r="J41" s="1">
        <f t="shared" si="3"/>
        <v>2.5576934611500715</v>
      </c>
      <c r="K41" s="1">
        <f t="shared" si="4"/>
        <v>1.1694680652140763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2.8774115147853196</v>
      </c>
      <c r="I42" s="1">
        <f t="shared" si="2"/>
        <v>1.1694680652140763</v>
      </c>
      <c r="J42" s="1">
        <f t="shared" si="3"/>
        <v>2.5576934611500715</v>
      </c>
      <c r="K42" s="1">
        <f t="shared" si="4"/>
        <v>1.1694680652140763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2.7608069771271642</v>
      </c>
      <c r="I43" s="1">
        <f t="shared" si="2"/>
        <v>0.96072310729413013</v>
      </c>
      <c r="J43" s="1">
        <f t="shared" si="3"/>
        <v>2.8254380525921849</v>
      </c>
      <c r="K43" s="1">
        <f t="shared" si="4"/>
        <v>0.96072310729413013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2.7663609380145311</v>
      </c>
      <c r="I44" s="1">
        <f t="shared" si="2"/>
        <v>1.0186537957302055</v>
      </c>
      <c r="J44" s="1">
        <f t="shared" si="3"/>
        <v>3.1908245107810518</v>
      </c>
      <c r="K44" s="1">
        <f t="shared" si="4"/>
        <v>1.0186537957302055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2.8113903375501432</v>
      </c>
      <c r="I45" s="1">
        <f t="shared" si="2"/>
        <v>1.0212682746902935</v>
      </c>
      <c r="J45" s="1">
        <f t="shared" si="3"/>
        <v>2.4367771333734174</v>
      </c>
      <c r="K45" s="1">
        <f t="shared" si="4"/>
        <v>1.0212682746902935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1.8179874644144229</v>
      </c>
      <c r="I46" s="1">
        <f t="shared" si="2"/>
        <v>2.1290817008487215</v>
      </c>
      <c r="J46" s="1">
        <f t="shared" si="3"/>
        <v>2.7528744214620957</v>
      </c>
      <c r="K46" s="1">
        <f t="shared" si="4"/>
        <v>1.8179874644144229</v>
      </c>
      <c r="L46" s="1">
        <f t="shared" si="5"/>
        <v>1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2.1421483027560302</v>
      </c>
      <c r="I47" s="1">
        <f t="shared" si="2"/>
        <v>2.3437126293316943</v>
      </c>
      <c r="J47" s="1">
        <f t="shared" si="3"/>
        <v>2.0513124573627417</v>
      </c>
      <c r="K47" s="1">
        <f t="shared" si="4"/>
        <v>2.0513124573627417</v>
      </c>
      <c r="L47" s="1">
        <f t="shared" si="5"/>
        <v>3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1.893921562759203</v>
      </c>
      <c r="I48" s="1">
        <f t="shared" si="2"/>
        <v>2.15707878597164</v>
      </c>
      <c r="J48" s="1">
        <f t="shared" si="3"/>
        <v>2.3522542781416975</v>
      </c>
      <c r="K48" s="1">
        <f t="shared" si="4"/>
        <v>1.893921562759203</v>
      </c>
      <c r="L48" s="1">
        <f t="shared" si="5"/>
        <v>1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2.6134196260260643</v>
      </c>
      <c r="I49" s="1">
        <f t="shared" si="2"/>
        <v>2.7563845079298268</v>
      </c>
      <c r="J49" s="1">
        <f t="shared" si="3"/>
        <v>1.3585686897202112</v>
      </c>
      <c r="K49" s="1">
        <f t="shared" si="4"/>
        <v>1.3585686897202112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2.1421483027560302</v>
      </c>
      <c r="I50" s="1">
        <f t="shared" si="2"/>
        <v>2.3437126293316943</v>
      </c>
      <c r="J50" s="1">
        <f t="shared" si="3"/>
        <v>2.0513124573627417</v>
      </c>
      <c r="K50" s="1">
        <f t="shared" si="4"/>
        <v>2.0513124573627417</v>
      </c>
      <c r="L50" s="1">
        <f t="shared" si="5"/>
        <v>3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2.7602593916405898</v>
      </c>
      <c r="I51" s="1">
        <f t="shared" si="2"/>
        <v>0.94498089339884994</v>
      </c>
      <c r="J51" s="1">
        <f t="shared" si="3"/>
        <v>2.7554002656272152</v>
      </c>
      <c r="K51" s="1">
        <f t="shared" si="4"/>
        <v>0.94498089339884994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2.7663609380145311</v>
      </c>
      <c r="I52" s="1">
        <f t="shared" si="2"/>
        <v>1.0186537957302055</v>
      </c>
      <c r="J52" s="1">
        <f t="shared" si="3"/>
        <v>3.1908245107810518</v>
      </c>
      <c r="K52" s="1">
        <f t="shared" si="4"/>
        <v>1.0186537957302055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2.1421483027560302</v>
      </c>
      <c r="I53" s="1">
        <f t="shared" si="2"/>
        <v>2.3437126293316943</v>
      </c>
      <c r="J53" s="1">
        <f t="shared" si="3"/>
        <v>2.0513124573627417</v>
      </c>
      <c r="K53" s="1">
        <f t="shared" si="4"/>
        <v>2.0513124573627417</v>
      </c>
      <c r="L53" s="1">
        <f t="shared" si="5"/>
        <v>3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2.2451413799840805</v>
      </c>
      <c r="I54" s="1">
        <f t="shared" si="2"/>
        <v>0.29942537560393173</v>
      </c>
      <c r="J54" s="1">
        <f t="shared" si="3"/>
        <v>2.7235790419467492</v>
      </c>
      <c r="K54" s="1">
        <f t="shared" si="4"/>
        <v>0.29942537560393173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0.86855094631770358</v>
      </c>
      <c r="I55" s="1">
        <f t="shared" si="2"/>
        <v>1.9530289865289299</v>
      </c>
      <c r="J55" s="1">
        <f t="shared" si="3"/>
        <v>3.0350224148432803</v>
      </c>
      <c r="K55" s="1">
        <f t="shared" si="4"/>
        <v>0.86855094631770358</v>
      </c>
      <c r="L55" s="1">
        <f t="shared" si="5"/>
        <v>1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0.86855094631770358</v>
      </c>
      <c r="I56" s="1">
        <f t="shared" si="2"/>
        <v>1.9530289865289299</v>
      </c>
      <c r="J56" s="1">
        <f t="shared" si="3"/>
        <v>3.0350224148432803</v>
      </c>
      <c r="K56" s="1">
        <f t="shared" si="4"/>
        <v>0.86855094631770358</v>
      </c>
      <c r="L56" s="1">
        <f t="shared" si="5"/>
        <v>1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2.7123677637599704</v>
      </c>
      <c r="I57" s="1">
        <f t="shared" si="2"/>
        <v>1.4157408739674864</v>
      </c>
      <c r="J57" s="1">
        <f t="shared" si="3"/>
        <v>2.2182180896800352</v>
      </c>
      <c r="K57" s="1">
        <f t="shared" si="4"/>
        <v>1.4157408739674864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0.84891684876483642</v>
      </c>
      <c r="I58" s="1">
        <f t="shared" si="2"/>
        <v>1.9156345046891257</v>
      </c>
      <c r="J58" s="1">
        <f t="shared" si="3"/>
        <v>2.5733695078279233</v>
      </c>
      <c r="K58" s="1">
        <f t="shared" si="4"/>
        <v>0.84891684876483642</v>
      </c>
      <c r="L58" s="1">
        <f t="shared" si="5"/>
        <v>1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1.4168288542245782</v>
      </c>
      <c r="I59" s="1">
        <f t="shared" si="2"/>
        <v>2.1586235326141407</v>
      </c>
      <c r="J59" s="1">
        <f t="shared" si="3"/>
        <v>1.9085768012912718</v>
      </c>
      <c r="K59" s="1">
        <f t="shared" si="4"/>
        <v>1.4168288542245782</v>
      </c>
      <c r="L59" s="1">
        <f t="shared" si="5"/>
        <v>1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2.7701833206613435</v>
      </c>
      <c r="I60" s="1">
        <f t="shared" si="2"/>
        <v>1.5147020242352032</v>
      </c>
      <c r="J60" s="1">
        <f t="shared" si="3"/>
        <v>2.2021857160935254</v>
      </c>
      <c r="K60" s="1">
        <f t="shared" si="4"/>
        <v>1.5147020242352032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1.1752127179348808</v>
      </c>
      <c r="I61" s="1">
        <f t="shared" si="2"/>
        <v>2.035760846028388</v>
      </c>
      <c r="J61" s="1">
        <f t="shared" si="3"/>
        <v>2.3604651747504835</v>
      </c>
      <c r="K61" s="1">
        <f t="shared" si="4"/>
        <v>1.1752127179348808</v>
      </c>
      <c r="L61" s="1">
        <f t="shared" si="5"/>
        <v>1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2.2519674710207132</v>
      </c>
      <c r="I62" s="1">
        <f t="shared" si="2"/>
        <v>0.45202015687602071</v>
      </c>
      <c r="J62" s="1">
        <f t="shared" si="3"/>
        <v>3.1009907557580352</v>
      </c>
      <c r="K62" s="1">
        <f t="shared" si="4"/>
        <v>0.45202015687602071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2.2519674710207132</v>
      </c>
      <c r="I63" s="1">
        <f t="shared" si="2"/>
        <v>0.45202015687602071</v>
      </c>
      <c r="J63" s="1">
        <f t="shared" si="3"/>
        <v>3.1009907557580352</v>
      </c>
      <c r="K63" s="1">
        <f t="shared" si="4"/>
        <v>0.45202015687602071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2.2564551953617338</v>
      </c>
      <c r="I64" s="1">
        <f t="shared" si="2"/>
        <v>0.24424486802296486</v>
      </c>
      <c r="J64" s="1">
        <f t="shared" si="3"/>
        <v>2.5110304860911978</v>
      </c>
      <c r="K64" s="1">
        <f t="shared" si="4"/>
        <v>0.24424486802296486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2.2564551953617338</v>
      </c>
      <c r="I65" s="1">
        <f t="shared" si="2"/>
        <v>0.24424486802296486</v>
      </c>
      <c r="J65" s="1">
        <f t="shared" si="3"/>
        <v>2.5110304860911978</v>
      </c>
      <c r="K65" s="1">
        <f t="shared" si="4"/>
        <v>0.24424486802296486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2.2444679904830158</v>
      </c>
      <c r="I66" s="1">
        <f t="shared" si="2"/>
        <v>0.24424486802296497</v>
      </c>
      <c r="J66" s="1">
        <f t="shared" si="3"/>
        <v>2.6508514165290706</v>
      </c>
      <c r="K66" s="1">
        <f t="shared" si="4"/>
        <v>0.24424486802296497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0.8801211873878011</v>
      </c>
      <c r="I67" s="1">
        <f t="shared" si="2"/>
        <v>1.9156345046891257</v>
      </c>
      <c r="J67" s="1">
        <f t="shared" si="3"/>
        <v>2.4290927305032519</v>
      </c>
      <c r="K67" s="1">
        <f t="shared" si="4"/>
        <v>0.8801211873878011</v>
      </c>
      <c r="L67" s="1">
        <f t="shared" si="5"/>
        <v>1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2.2451413799840805</v>
      </c>
      <c r="I68" s="1">
        <f t="shared" si="2"/>
        <v>0.29942537560393173</v>
      </c>
      <c r="J68" s="1">
        <f t="shared" si="3"/>
        <v>2.7235790419467492</v>
      </c>
      <c r="K68" s="1">
        <f t="shared" si="4"/>
        <v>0.29942537560393173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2.2451413799840805</v>
      </c>
      <c r="I69" s="1">
        <f t="shared" si="2"/>
        <v>0.29942537560393173</v>
      </c>
      <c r="J69" s="1">
        <f t="shared" si="3"/>
        <v>2.7235790419467492</v>
      </c>
      <c r="K69" s="1">
        <f t="shared" si="4"/>
        <v>0.29942537560393173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0.86855094631770358</v>
      </c>
      <c r="I70" s="1">
        <f t="shared" si="2"/>
        <v>1.9530289865289299</v>
      </c>
      <c r="J70" s="1">
        <f t="shared" si="3"/>
        <v>3.0350224148432803</v>
      </c>
      <c r="K70" s="1">
        <f t="shared" si="4"/>
        <v>0.86855094631770358</v>
      </c>
      <c r="L70" s="1">
        <f t="shared" si="5"/>
        <v>1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2.2519674710207132</v>
      </c>
      <c r="I71" s="1">
        <f t="shared" si="2"/>
        <v>0.45202015687602071</v>
      </c>
      <c r="J71" s="1">
        <f t="shared" si="3"/>
        <v>3.1009907557580352</v>
      </c>
      <c r="K71" s="1">
        <f t="shared" si="4"/>
        <v>0.45202015687602071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2.2519674710207132</v>
      </c>
      <c r="I72" s="1">
        <f t="shared" si="2"/>
        <v>0.45202015687602071</v>
      </c>
      <c r="J72" s="1">
        <f t="shared" si="3"/>
        <v>3.1009907557580352</v>
      </c>
      <c r="K72" s="1">
        <f t="shared" si="4"/>
        <v>0.45202015687602071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2.6587213752103733</v>
      </c>
      <c r="I73" s="1">
        <f t="shared" si="2"/>
        <v>3.0691457370994213</v>
      </c>
      <c r="J73" s="1">
        <f t="shared" si="3"/>
        <v>0.87728098586846837</v>
      </c>
      <c r="K73" s="1">
        <f t="shared" si="4"/>
        <v>0.87728098586846837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3.0001874828743431</v>
      </c>
      <c r="I74" s="1">
        <f t="shared" si="2"/>
        <v>3.3608018223169429</v>
      </c>
      <c r="J74" s="1">
        <f t="shared" si="3"/>
        <v>0.96032839373754098</v>
      </c>
      <c r="K74" s="1">
        <f t="shared" si="4"/>
        <v>0.96032839373754098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0.86855094631770358</v>
      </c>
      <c r="I75" s="1">
        <f t="shared" ref="I75:I135" si="7">SQRT((($C75-$C$3)^2)+(($D75-$D$3)^2)+(($E75-$E$3)^2)+(($F75-$F$3)^2)+(($G75-$G$3)^2))</f>
        <v>1.9530289865289299</v>
      </c>
      <c r="J75" s="1">
        <f t="shared" ref="J75:J135" si="8">SQRT((($C75-$C$4)^2)+(($D75-$D$4)^2)+(($E75-$E$4)^2)+(($F75-$F$4)^2)+(($G75-$G$4)^2))</f>
        <v>3.0350224148432803</v>
      </c>
      <c r="K75" s="1">
        <f t="shared" ref="K75:K135" si="9">MIN(H75:J75)</f>
        <v>0.86855094631770358</v>
      </c>
      <c r="L75" s="1">
        <f t="shared" ref="L75:L135" si="10">IF(K75=J75, $J$9, IF(K75=I75, $I$9, IF(K75=H75, $H$9)))</f>
        <v>1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2.2519674710207132</v>
      </c>
      <c r="I76" s="1">
        <f t="shared" si="7"/>
        <v>0.45202015687602071</v>
      </c>
      <c r="J76" s="1">
        <f t="shared" si="8"/>
        <v>3.1009907557580352</v>
      </c>
      <c r="K76" s="1">
        <f t="shared" si="9"/>
        <v>0.45202015687602071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2.2519674710207132</v>
      </c>
      <c r="I77" s="1">
        <f t="shared" si="7"/>
        <v>0.45202015687602071</v>
      </c>
      <c r="J77" s="1">
        <f t="shared" si="8"/>
        <v>3.1009907557580352</v>
      </c>
      <c r="K77" s="1">
        <f t="shared" si="9"/>
        <v>0.45202015687602071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2.7123677637599704</v>
      </c>
      <c r="I78" s="1">
        <f t="shared" si="7"/>
        <v>1.4157408739674864</v>
      </c>
      <c r="J78" s="1">
        <f t="shared" si="8"/>
        <v>2.2182180896800352</v>
      </c>
      <c r="K78" s="1">
        <f t="shared" si="9"/>
        <v>1.4157408739674864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0.86855094631770358</v>
      </c>
      <c r="I79" s="1">
        <f t="shared" si="7"/>
        <v>1.9530289865289299</v>
      </c>
      <c r="J79" s="1">
        <f t="shared" si="8"/>
        <v>3.0350224148432803</v>
      </c>
      <c r="K79" s="1">
        <f t="shared" si="9"/>
        <v>0.86855094631770358</v>
      </c>
      <c r="L79" s="1">
        <f t="shared" si="10"/>
        <v>1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2.4713162489174332</v>
      </c>
      <c r="I80" s="1">
        <f t="shared" si="7"/>
        <v>0.92717611895235696</v>
      </c>
      <c r="J80" s="1">
        <f t="shared" si="8"/>
        <v>2.0538543230570823</v>
      </c>
      <c r="K80" s="1">
        <f t="shared" si="9"/>
        <v>0.92717611895235696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2.5148321507308156</v>
      </c>
      <c r="I81" s="1">
        <f t="shared" si="7"/>
        <v>1.0245269911308121</v>
      </c>
      <c r="J81" s="1">
        <f t="shared" si="8"/>
        <v>2.0118270340968367</v>
      </c>
      <c r="K81" s="1">
        <f t="shared" si="9"/>
        <v>1.0245269911308121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0.86855094631770358</v>
      </c>
      <c r="I82" s="1">
        <f t="shared" si="7"/>
        <v>1.9530289865289299</v>
      </c>
      <c r="J82" s="1">
        <f t="shared" si="8"/>
        <v>3.0350224148432803</v>
      </c>
      <c r="K82" s="1">
        <f t="shared" si="9"/>
        <v>0.86855094631770358</v>
      </c>
      <c r="L82" s="1">
        <f t="shared" si="10"/>
        <v>1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2.2444679904830158</v>
      </c>
      <c r="I83" s="1">
        <f t="shared" si="7"/>
        <v>0.24424486802296497</v>
      </c>
      <c r="J83" s="1">
        <f t="shared" si="8"/>
        <v>2.6508514165290706</v>
      </c>
      <c r="K83" s="1">
        <f t="shared" si="9"/>
        <v>0.24424486802296497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2.1189530768042544</v>
      </c>
      <c r="I84" s="1">
        <f t="shared" si="7"/>
        <v>1.1708923472671984</v>
      </c>
      <c r="J84" s="1">
        <f t="shared" si="8"/>
        <v>3.3242933498703815</v>
      </c>
      <c r="K84" s="1">
        <f t="shared" si="9"/>
        <v>1.1708923472671984</v>
      </c>
      <c r="L84" s="1">
        <f t="shared" si="10"/>
        <v>2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0.37721044934302134</v>
      </c>
      <c r="I85" s="1">
        <f t="shared" si="7"/>
        <v>2.2059742115950085</v>
      </c>
      <c r="J85" s="1">
        <f t="shared" si="8"/>
        <v>2.9065241780744873</v>
      </c>
      <c r="K85" s="1">
        <f t="shared" si="9"/>
        <v>0.37721044934302134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3.8635697798828219</v>
      </c>
      <c r="I86" s="1">
        <f t="shared" si="7"/>
        <v>3.3114431228024368</v>
      </c>
      <c r="J86" s="1">
        <f t="shared" si="8"/>
        <v>1.7699337293885387</v>
      </c>
      <c r="K86" s="1">
        <f t="shared" si="9"/>
        <v>1.7699337293885387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0.89427601083707942</v>
      </c>
      <c r="I87" s="1">
        <f t="shared" si="7"/>
        <v>2.3045582849841062</v>
      </c>
      <c r="J87" s="1">
        <f t="shared" si="8"/>
        <v>2.6469942292920634</v>
      </c>
      <c r="K87" s="1">
        <f t="shared" si="9"/>
        <v>0.89427601083707942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0.37721044934302134</v>
      </c>
      <c r="I88" s="1">
        <f t="shared" si="7"/>
        <v>2.2059742115950085</v>
      </c>
      <c r="J88" s="1">
        <f t="shared" si="8"/>
        <v>2.9065241780744873</v>
      </c>
      <c r="K88" s="1">
        <f t="shared" si="9"/>
        <v>0.37721044934302134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0.37318154734607467</v>
      </c>
      <c r="I89" s="1">
        <f t="shared" si="7"/>
        <v>2.1991639825675162</v>
      </c>
      <c r="J89" s="1">
        <f t="shared" si="8"/>
        <v>2.8384878425869964</v>
      </c>
      <c r="K89" s="1">
        <f t="shared" si="9"/>
        <v>0.37318154734607467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3.6904602728411997</v>
      </c>
      <c r="I90" s="1">
        <f t="shared" si="7"/>
        <v>4.183418325829833</v>
      </c>
      <c r="J90" s="1">
        <f t="shared" si="8"/>
        <v>1.8893443117034945</v>
      </c>
      <c r="K90" s="1">
        <f t="shared" si="9"/>
        <v>1.8893443117034945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0.41591513258376261</v>
      </c>
      <c r="I91" s="1">
        <f t="shared" si="7"/>
        <v>2.2318129152975357</v>
      </c>
      <c r="J91" s="1">
        <f t="shared" si="8"/>
        <v>3.2628428811845644</v>
      </c>
      <c r="K91" s="1">
        <f t="shared" si="9"/>
        <v>0.41591513258376261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0.37721044934302134</v>
      </c>
      <c r="I92" s="1">
        <f t="shared" si="7"/>
        <v>2.2059742115950085</v>
      </c>
      <c r="J92" s="1">
        <f t="shared" si="8"/>
        <v>2.9065241780744873</v>
      </c>
      <c r="K92" s="1">
        <f t="shared" si="9"/>
        <v>0.37721044934302134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0.89427601083707942</v>
      </c>
      <c r="I93" s="1">
        <f t="shared" si="7"/>
        <v>2.3045582849841062</v>
      </c>
      <c r="J93" s="1">
        <f t="shared" si="8"/>
        <v>2.6469942292920634</v>
      </c>
      <c r="K93" s="1">
        <f t="shared" si="9"/>
        <v>0.89427601083707942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2.1109811016363125</v>
      </c>
      <c r="I94" s="1">
        <f t="shared" si="7"/>
        <v>1.1073943390781003</v>
      </c>
      <c r="J94" s="1">
        <f t="shared" si="8"/>
        <v>2.9089166095317744</v>
      </c>
      <c r="K94" s="1">
        <f t="shared" si="9"/>
        <v>1.1073943390781003</v>
      </c>
      <c r="L94" s="1">
        <f t="shared" si="10"/>
        <v>2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2.1774124396622452</v>
      </c>
      <c r="I95" s="1">
        <f t="shared" si="7"/>
        <v>1.1731676019317199</v>
      </c>
      <c r="J95" s="1">
        <f t="shared" si="8"/>
        <v>2.6091086629580751</v>
      </c>
      <c r="K95" s="1">
        <f t="shared" si="9"/>
        <v>1.1731676019317199</v>
      </c>
      <c r="L95" s="1">
        <f t="shared" si="10"/>
        <v>2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2.1774124396622452</v>
      </c>
      <c r="I96" s="1">
        <f t="shared" si="7"/>
        <v>1.1731676019317199</v>
      </c>
      <c r="J96" s="1">
        <f t="shared" si="8"/>
        <v>2.6091086629580751</v>
      </c>
      <c r="K96" s="1">
        <f t="shared" si="9"/>
        <v>1.1731676019317199</v>
      </c>
      <c r="L96" s="1">
        <f t="shared" si="10"/>
        <v>2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2.111697058595198</v>
      </c>
      <c r="I97" s="1">
        <f t="shared" si="7"/>
        <v>1.1208578064242682</v>
      </c>
      <c r="J97" s="1">
        <f t="shared" si="8"/>
        <v>2.9753429056878846</v>
      </c>
      <c r="K97" s="1">
        <f t="shared" si="9"/>
        <v>1.1208578064242682</v>
      </c>
      <c r="L97" s="1">
        <f t="shared" si="10"/>
        <v>2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2.1109811016363125</v>
      </c>
      <c r="I98" s="1">
        <f t="shared" si="7"/>
        <v>1.1073943390781003</v>
      </c>
      <c r="J98" s="1">
        <f t="shared" si="8"/>
        <v>2.9089166095317744</v>
      </c>
      <c r="K98" s="1">
        <f t="shared" si="9"/>
        <v>1.1073943390781003</v>
      </c>
      <c r="L98" s="1">
        <f t="shared" si="10"/>
        <v>2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4.566048548909718</v>
      </c>
      <c r="I99" s="1">
        <f t="shared" si="7"/>
        <v>4.0922270492022097</v>
      </c>
      <c r="J99" s="1">
        <f t="shared" si="8"/>
        <v>2.2598701804559873</v>
      </c>
      <c r="K99" s="1">
        <f t="shared" si="9"/>
        <v>2.2598701804559873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4.9616631966087681</v>
      </c>
      <c r="I100" s="1">
        <f t="shared" si="7"/>
        <v>4.5201388867550909</v>
      </c>
      <c r="J100" s="1">
        <f t="shared" si="8"/>
        <v>2.5901259357314963</v>
      </c>
      <c r="K100" s="1">
        <f t="shared" si="9"/>
        <v>2.5901259357314963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0.37721044934302134</v>
      </c>
      <c r="I101" s="1">
        <f t="shared" si="7"/>
        <v>2.2059742115950085</v>
      </c>
      <c r="J101" s="1">
        <f t="shared" si="8"/>
        <v>2.9065241780744873</v>
      </c>
      <c r="K101" s="1">
        <f t="shared" si="9"/>
        <v>0.37721044934302134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0.41591513258376261</v>
      </c>
      <c r="I102" s="1">
        <f t="shared" si="7"/>
        <v>2.2318129152975357</v>
      </c>
      <c r="J102" s="1">
        <f t="shared" si="8"/>
        <v>3.2628428811845644</v>
      </c>
      <c r="K102" s="1">
        <f t="shared" si="9"/>
        <v>0.41591513258376261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4.8077659369491892</v>
      </c>
      <c r="I103" s="1">
        <f t="shared" si="7"/>
        <v>5.1774178463357146</v>
      </c>
      <c r="J103" s="1">
        <f t="shared" si="8"/>
        <v>2.7723111089284496</v>
      </c>
      <c r="K103" s="1">
        <f t="shared" si="9"/>
        <v>2.7723111089284496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2.1109811016363125</v>
      </c>
      <c r="I104" s="1">
        <f t="shared" si="7"/>
        <v>1.1073943390781003</v>
      </c>
      <c r="J104" s="1">
        <f t="shared" si="8"/>
        <v>2.9089166095317744</v>
      </c>
      <c r="K104" s="1">
        <f t="shared" si="9"/>
        <v>1.1073943390781003</v>
      </c>
      <c r="L104" s="1">
        <f t="shared" si="10"/>
        <v>2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3.1835272674548349</v>
      </c>
      <c r="I105" s="1">
        <f t="shared" si="7"/>
        <v>3.9783986169758747</v>
      </c>
      <c r="J105" s="1">
        <f t="shared" si="8"/>
        <v>3.1957941405910231</v>
      </c>
      <c r="K105" s="1">
        <f t="shared" si="9"/>
        <v>3.1835272674548349</v>
      </c>
      <c r="L105" s="1">
        <f t="shared" si="10"/>
        <v>1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5.8220678259193441</v>
      </c>
      <c r="I106" s="1">
        <f t="shared" si="7"/>
        <v>5.5944307624239622</v>
      </c>
      <c r="J106" s="1">
        <f t="shared" si="8"/>
        <v>3.7438140535150493</v>
      </c>
      <c r="K106" s="1">
        <f t="shared" si="9"/>
        <v>3.7438140535150493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3.4620479625774374</v>
      </c>
      <c r="I107" s="1">
        <f t="shared" si="7"/>
        <v>4.1949559658660958</v>
      </c>
      <c r="J107" s="1">
        <f t="shared" si="8"/>
        <v>3.3015892375314868</v>
      </c>
      <c r="K107" s="1">
        <f t="shared" si="9"/>
        <v>3.3015892375314868</v>
      </c>
      <c r="L107" s="1">
        <f t="shared" si="10"/>
        <v>3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5.9835401594183892</v>
      </c>
      <c r="I108" s="1">
        <f t="shared" si="7"/>
        <v>6.4025767382272649</v>
      </c>
      <c r="J108" s="1">
        <f t="shared" si="8"/>
        <v>4.1099101034695558</v>
      </c>
      <c r="K108" s="1">
        <f t="shared" si="9"/>
        <v>4.1099101034695558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1.2615823590534863</v>
      </c>
      <c r="I109" s="1">
        <f t="shared" si="7"/>
        <v>2.8544098436551737</v>
      </c>
      <c r="J109" s="1">
        <f t="shared" si="8"/>
        <v>3.7524560325195604</v>
      </c>
      <c r="K109" s="1">
        <f t="shared" si="9"/>
        <v>1.2615823590534863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6.6911923574916026</v>
      </c>
      <c r="I110" s="1">
        <f t="shared" si="7"/>
        <v>6.4790680056796921</v>
      </c>
      <c r="J110" s="1">
        <f t="shared" si="8"/>
        <v>4.490963411446252</v>
      </c>
      <c r="K110" s="1">
        <f t="shared" si="9"/>
        <v>4.490963411446252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4.477043179384169</v>
      </c>
      <c r="I111" s="1">
        <f t="shared" si="7"/>
        <v>5.0347117317898364</v>
      </c>
      <c r="J111" s="1">
        <f t="shared" si="8"/>
        <v>3.0026894057322653</v>
      </c>
      <c r="K111" s="1">
        <f t="shared" si="9"/>
        <v>3.0026894057322653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1.2481462728552295</v>
      </c>
      <c r="I112" s="1">
        <f t="shared" si="7"/>
        <v>2.8289554413049505</v>
      </c>
      <c r="J112" s="1">
        <f t="shared" si="8"/>
        <v>3.3899551385246727</v>
      </c>
      <c r="K112" s="1">
        <f t="shared" si="9"/>
        <v>1.2481462728552295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2.4307543670352643</v>
      </c>
      <c r="I113" s="1">
        <f t="shared" si="7"/>
        <v>2.1301773530754562</v>
      </c>
      <c r="J113" s="1">
        <f t="shared" si="8"/>
        <v>3.8060095749601173</v>
      </c>
      <c r="K113" s="1">
        <f t="shared" si="9"/>
        <v>2.1301773530754562</v>
      </c>
      <c r="L113" s="1">
        <f t="shared" si="10"/>
        <v>2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2.4307543670352643</v>
      </c>
      <c r="I114" s="1">
        <f t="shared" si="7"/>
        <v>2.1301773530754562</v>
      </c>
      <c r="J114" s="1">
        <f t="shared" si="8"/>
        <v>3.8060095749601173</v>
      </c>
      <c r="K114" s="1">
        <f t="shared" si="9"/>
        <v>2.1301773530754562</v>
      </c>
      <c r="L114" s="1">
        <f t="shared" si="10"/>
        <v>2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2.4349125961727132</v>
      </c>
      <c r="I115" s="1">
        <f t="shared" si="7"/>
        <v>2.0959458220309251</v>
      </c>
      <c r="J115" s="1">
        <f t="shared" si="8"/>
        <v>3.342878896919645</v>
      </c>
      <c r="K115" s="1">
        <f t="shared" si="9"/>
        <v>2.0959458220309251</v>
      </c>
      <c r="L115" s="1">
        <f t="shared" si="10"/>
        <v>2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2.424431710410174</v>
      </c>
      <c r="I116" s="1">
        <f t="shared" si="7"/>
        <v>2.1030903187663839</v>
      </c>
      <c r="J116" s="1">
        <f t="shared" si="8"/>
        <v>3.505345634188286</v>
      </c>
      <c r="K116" s="1">
        <f t="shared" si="9"/>
        <v>2.1030903187663839</v>
      </c>
      <c r="L116" s="1">
        <f t="shared" si="10"/>
        <v>2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2.4307543670352643</v>
      </c>
      <c r="I117" s="1">
        <f t="shared" si="7"/>
        <v>2.1301773530754562</v>
      </c>
      <c r="J117" s="1">
        <f t="shared" si="8"/>
        <v>3.8060095749601173</v>
      </c>
      <c r="K117" s="1">
        <f t="shared" si="9"/>
        <v>2.1301773530754562</v>
      </c>
      <c r="L117" s="1">
        <f t="shared" si="10"/>
        <v>2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2.4307543670352643</v>
      </c>
      <c r="I118" s="1">
        <f t="shared" si="7"/>
        <v>2.1301773530754562</v>
      </c>
      <c r="J118" s="1">
        <f t="shared" si="8"/>
        <v>3.8060095749601173</v>
      </c>
      <c r="K118" s="1">
        <f t="shared" si="9"/>
        <v>2.1301773530754562</v>
      </c>
      <c r="L118" s="1">
        <f t="shared" si="10"/>
        <v>2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1.2615823590534863</v>
      </c>
      <c r="I119" s="1">
        <f t="shared" si="7"/>
        <v>2.8544098436551737</v>
      </c>
      <c r="J119" s="1">
        <f t="shared" si="8"/>
        <v>3.7524560325195604</v>
      </c>
      <c r="K119" s="1">
        <f t="shared" si="9"/>
        <v>1.2615823590534863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1.2615823590534863</v>
      </c>
      <c r="I120" s="1">
        <f t="shared" si="7"/>
        <v>2.8544098436551737</v>
      </c>
      <c r="J120" s="1">
        <f t="shared" si="8"/>
        <v>3.7524560325195604</v>
      </c>
      <c r="K120" s="1">
        <f t="shared" si="9"/>
        <v>1.2615823590534863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2.424431710410174</v>
      </c>
      <c r="I121" s="1">
        <f t="shared" si="7"/>
        <v>2.1030903187663839</v>
      </c>
      <c r="J121" s="1">
        <f t="shared" si="8"/>
        <v>3.505345634188286</v>
      </c>
      <c r="K121" s="1">
        <f t="shared" si="9"/>
        <v>2.1030903187663839</v>
      </c>
      <c r="L121" s="1">
        <f t="shared" si="10"/>
        <v>2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2.4307543670352643</v>
      </c>
      <c r="I122" s="1">
        <f t="shared" si="7"/>
        <v>2.1301773530754562</v>
      </c>
      <c r="J122" s="1">
        <f t="shared" si="8"/>
        <v>3.8060095749601173</v>
      </c>
      <c r="K122" s="1">
        <f t="shared" si="9"/>
        <v>2.1301773530754562</v>
      </c>
      <c r="L122" s="1">
        <f t="shared" si="10"/>
        <v>2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1.2615823590534863</v>
      </c>
      <c r="I123" s="1">
        <f t="shared" si="7"/>
        <v>2.8544098436551737</v>
      </c>
      <c r="J123" s="1">
        <f t="shared" si="8"/>
        <v>3.7524560325195604</v>
      </c>
      <c r="K123" s="1">
        <f t="shared" si="9"/>
        <v>1.2615823590534863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1.2615823590534863</v>
      </c>
      <c r="I124" s="1">
        <f t="shared" si="7"/>
        <v>2.8544098436551737</v>
      </c>
      <c r="J124" s="1">
        <f t="shared" si="8"/>
        <v>3.7524560325195604</v>
      </c>
      <c r="K124" s="1">
        <f t="shared" si="9"/>
        <v>1.2615823590534863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1.2615823590534863</v>
      </c>
      <c r="I125" s="1">
        <f t="shared" si="7"/>
        <v>2.8544098436551737</v>
      </c>
      <c r="J125" s="1">
        <f t="shared" si="8"/>
        <v>3.7524560325195604</v>
      </c>
      <c r="K125" s="1">
        <f t="shared" si="9"/>
        <v>1.2615823590534863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2.2383464208736212</v>
      </c>
      <c r="I126" s="1">
        <f t="shared" si="7"/>
        <v>3.648879584505663</v>
      </c>
      <c r="J126" s="1">
        <f t="shared" si="8"/>
        <v>4.4176587560254239</v>
      </c>
      <c r="K126" s="1">
        <f t="shared" si="9"/>
        <v>2.2383464208736212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3.0540418209356264</v>
      </c>
      <c r="I127" s="1">
        <f t="shared" si="7"/>
        <v>3.1151761141582703</v>
      </c>
      <c r="J127" s="1">
        <f t="shared" si="8"/>
        <v>4.4632377814075452</v>
      </c>
      <c r="K127" s="1">
        <f t="shared" si="9"/>
        <v>3.0540418209356264</v>
      </c>
      <c r="L127" s="1">
        <f t="shared" si="10"/>
        <v>1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2.2308011497229403</v>
      </c>
      <c r="I128" s="1">
        <f t="shared" si="7"/>
        <v>3.6290020054493706</v>
      </c>
      <c r="J128" s="1">
        <f t="shared" si="8"/>
        <v>4.1141923204810791</v>
      </c>
      <c r="K128" s="1">
        <f t="shared" si="9"/>
        <v>2.2308011497229403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3.0485161167019013</v>
      </c>
      <c r="I129" s="1">
        <f t="shared" si="7"/>
        <v>3.091869265598977</v>
      </c>
      <c r="J129" s="1">
        <f t="shared" si="8"/>
        <v>4.1630951296602792</v>
      </c>
      <c r="K129" s="1">
        <f t="shared" si="9"/>
        <v>3.0485161167019013</v>
      </c>
      <c r="L129" s="1">
        <f t="shared" si="10"/>
        <v>1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2.2308011497229403</v>
      </c>
      <c r="I130" s="1">
        <f t="shared" si="7"/>
        <v>3.6290020054493706</v>
      </c>
      <c r="J130" s="1">
        <f t="shared" si="8"/>
        <v>4.1141923204810791</v>
      </c>
      <c r="K130" s="1">
        <f t="shared" si="9"/>
        <v>2.2308011497229403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4.895223994430868</v>
      </c>
      <c r="I131" s="1">
        <f t="shared" si="7"/>
        <v>4.8201993965210832</v>
      </c>
      <c r="J131" s="1">
        <f t="shared" si="8"/>
        <v>4.3191248325871179</v>
      </c>
      <c r="K131" s="1">
        <f t="shared" si="9"/>
        <v>4.3191248325871179</v>
      </c>
      <c r="L131" s="1">
        <f t="shared" si="10"/>
        <v>3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3.0540418209356264</v>
      </c>
      <c r="I132" s="1">
        <f t="shared" si="7"/>
        <v>3.1151761141582703</v>
      </c>
      <c r="J132" s="1">
        <f t="shared" si="8"/>
        <v>4.4632377814075452</v>
      </c>
      <c r="K132" s="1">
        <f t="shared" si="9"/>
        <v>3.0540418209356264</v>
      </c>
      <c r="L132" s="1">
        <f t="shared" si="10"/>
        <v>1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2.2383464208736212</v>
      </c>
      <c r="I133" s="1">
        <f t="shared" si="7"/>
        <v>3.648879584505663</v>
      </c>
      <c r="J133" s="1">
        <f t="shared" si="8"/>
        <v>4.4176587560254239</v>
      </c>
      <c r="K133" s="1">
        <f t="shared" si="9"/>
        <v>2.2383464208736212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2.2383464208736212</v>
      </c>
      <c r="I134" s="1">
        <f t="shared" si="7"/>
        <v>3.648879584505663</v>
      </c>
      <c r="J134" s="1">
        <f t="shared" si="8"/>
        <v>4.4176587560254239</v>
      </c>
      <c r="K134" s="1">
        <f t="shared" si="9"/>
        <v>2.2383464208736212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2.2383464208736212</v>
      </c>
      <c r="I135" s="1">
        <f t="shared" si="7"/>
        <v>3.648879584505663</v>
      </c>
      <c r="J135" s="1">
        <f t="shared" si="8"/>
        <v>4.4176587560254239</v>
      </c>
      <c r="K135" s="1">
        <f t="shared" si="9"/>
        <v>2.2383464208736212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0B6C-6FF6-3C48-837A-7B828DB10B94}">
  <dimension ref="A1:L135"/>
  <sheetViews>
    <sheetView topLeftCell="A107" workbookViewId="0">
      <selection activeCell="L135" sqref="A1:L135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3'!$L$10:$L$135,$A$2,'iterasi 3'!C$10:C$135)/$B$2</f>
        <v>0</v>
      </c>
      <c r="D2" s="3">
        <f>SUMIF('iterasi 3'!$L$10:$L$135,$A$2,'iterasi 3'!D$10:D$135)/$B$2</f>
        <v>-0.32558139534883712</v>
      </c>
      <c r="E2" s="3">
        <f>SUMIF('iterasi 3'!$L$10:$L$135,$A$2,'iterasi 3'!E$10:E$135)/$B$2</f>
        <v>-0.35348837209302314</v>
      </c>
      <c r="F2" s="3">
        <f>SUMIF('iterasi 3'!$L$10:$L$135,$A$2,'iterasi 3'!F$10:F$135)/$B$2</f>
        <v>-0.79767441860465127</v>
      </c>
      <c r="G2" s="3">
        <f>SUMIF('iterasi 3'!$L$10:$L$135,$A$2,'iterasi 3'!G$10:G$135)/$B$2</f>
        <v>3.9069767441860463</v>
      </c>
      <c r="H2" s="1"/>
      <c r="I2" s="1"/>
      <c r="J2" s="1"/>
      <c r="K2" s="1">
        <v>1</v>
      </c>
      <c r="L2" s="1">
        <f>COUNTIF($L$10:$L$135,A2)</f>
        <v>44</v>
      </c>
    </row>
    <row r="3" spans="1:12">
      <c r="A3" s="13">
        <v>2</v>
      </c>
      <c r="B3" s="9">
        <f>'iterasi 1'!L3</f>
        <v>60</v>
      </c>
      <c r="C3" s="3">
        <f>SUMIF('iterasi 3'!$L$10:$L$135,$A$3,'iterasi 3'!C$10:C$135)/$B$3</f>
        <v>0</v>
      </c>
      <c r="D3" s="3">
        <f>SUMIF('iterasi 3'!$L$10:$L$135,$A$3,'iterasi 3'!D$10:D$135)/$B$3</f>
        <v>-0.33333333333333354</v>
      </c>
      <c r="E3" s="3">
        <f>SUMIF('iterasi 3'!$L$10:$L$135,$A$3,'iterasi 3'!E$10:E$135)/$B$3</f>
        <v>-0.35666666666666647</v>
      </c>
      <c r="F3" s="3">
        <f>SUMIF('iterasi 3'!$L$10:$L$135,$A$3,'iterasi 3'!F$10:F$135)/$B$3</f>
        <v>0.67166666666666619</v>
      </c>
      <c r="G3" s="3">
        <f>SUMIF('iterasi 3'!$L$10:$L$135,$A$3,'iterasi 3'!G$10:G$135)/$B$3</f>
        <v>2.8</v>
      </c>
      <c r="H3" s="1"/>
      <c r="I3" s="1"/>
      <c r="J3" s="1"/>
      <c r="K3" s="1">
        <v>2</v>
      </c>
      <c r="L3" s="1">
        <f t="shared" ref="L3:L4" si="0">COUNTIF($L$10:$L$135,A3)</f>
        <v>64</v>
      </c>
    </row>
    <row r="4" spans="1:12">
      <c r="A4" s="13">
        <v>3</v>
      </c>
      <c r="B4" s="9">
        <f>'iterasi 1'!L4</f>
        <v>23</v>
      </c>
      <c r="C4" s="3">
        <f>SUMIF('iterasi 3'!$L$10:$L$135,$A$4,'iterasi 3'!C$10:C$135)/$B$4</f>
        <v>0</v>
      </c>
      <c r="D4" s="3">
        <f>SUMIF('iterasi 3'!$L$10:$L$135,$A$4,'iterasi 3'!D$10:D$135)/$B$4</f>
        <v>1.4304347826086958</v>
      </c>
      <c r="E4" s="3">
        <f>SUMIF('iterasi 3'!$L$10:$L$135,$A$4,'iterasi 3'!E$10:E$135)/$B$4</f>
        <v>1.5000000000000002</v>
      </c>
      <c r="F4" s="3">
        <f>SUMIF('iterasi 3'!$L$10:$L$135,$A$4,'iterasi 3'!F$10:F$135)/$B$4</f>
        <v>-0.28695652173913033</v>
      </c>
      <c r="G4" s="3">
        <f>SUMIF('iterasi 3'!$L$10:$L$135,$A$4,'iterasi 3'!G$10:G$135)/$B$4</f>
        <v>2.8695652173913042</v>
      </c>
      <c r="H4" s="1"/>
      <c r="I4" s="1"/>
      <c r="J4" s="1"/>
      <c r="K4" s="1">
        <v>3</v>
      </c>
      <c r="L4" s="1">
        <f t="shared" si="0"/>
        <v>18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2.9397179439614058</v>
      </c>
      <c r="I10" s="1">
        <f>SQRT((($C10-$C$3)^2)+(($D10-$D$3)^2)+(($E10-$E$3)^2)+(($F10-$F$3)^2)+(($G10-$G$3)^2))</f>
        <v>2.4859857199911661</v>
      </c>
      <c r="J10" s="1">
        <f>SQRT((($C10-$C$4)^2)+(($D10-$D$4)^2)+(($E10-$E$4)^2)+(($F10-$F$4)^2)+(($G10-$G$4)^2))</f>
        <v>3.5454595687830426</v>
      </c>
      <c r="K10" s="1">
        <f>MIN(H10:J10)</f>
        <v>2.4859857199911661</v>
      </c>
      <c r="L10" s="1">
        <f>IF(K10=J10, $J$9, IF(K10=I10, $I$9, IF(K10=H10, $H$9)))</f>
        <v>2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3.3771237534124552</v>
      </c>
      <c r="I11" s="1">
        <f t="shared" ref="I11:I74" si="2">SQRT((($C11-$C$3)^2)+(($D11-$D$3)^2)+(($E11-$E$3)^2)+(($F11-$F$3)^2)+(($G11-$G$3)^2))</f>
        <v>1.8349727518412908</v>
      </c>
      <c r="J11" s="1">
        <f t="shared" ref="J11:J74" si="3">SQRT((($C11-$C$4)^2)+(($D11-$D$4)^2)+(($E11-$E$4)^2)+(($F11-$F$4)^2)+(($G11-$G$4)^2))</f>
        <v>3.3535608702388235</v>
      </c>
      <c r="K11" s="1">
        <f t="shared" ref="K11:K74" si="4">MIN(H11:J11)</f>
        <v>1.8349727518412908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3.3886729527569268</v>
      </c>
      <c r="I12" s="1">
        <f t="shared" si="2"/>
        <v>1.8541282767561327</v>
      </c>
      <c r="J12" s="1">
        <f t="shared" si="3"/>
        <v>3.670247721405727</v>
      </c>
      <c r="K12" s="1">
        <f t="shared" si="4"/>
        <v>1.8541282767561327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3.3771237534124552</v>
      </c>
      <c r="I13" s="1">
        <f t="shared" si="2"/>
        <v>1.8349727518412908</v>
      </c>
      <c r="J13" s="1">
        <f t="shared" si="3"/>
        <v>3.3535608702388235</v>
      </c>
      <c r="K13" s="1">
        <f t="shared" si="4"/>
        <v>1.8349727518412908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3.3886729527569268</v>
      </c>
      <c r="I14" s="1">
        <f t="shared" si="2"/>
        <v>1.8541282767561327</v>
      </c>
      <c r="J14" s="1">
        <f t="shared" si="3"/>
        <v>3.670247721405727</v>
      </c>
      <c r="K14" s="1">
        <f t="shared" si="4"/>
        <v>1.8541282767561327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2.9230976257360202</v>
      </c>
      <c r="I15" s="1">
        <f t="shared" si="2"/>
        <v>2.4679529303993348</v>
      </c>
      <c r="J15" s="1">
        <f t="shared" si="3"/>
        <v>3.1553027949450874</v>
      </c>
      <c r="K15" s="1">
        <f t="shared" si="4"/>
        <v>2.4679529303993348</v>
      </c>
      <c r="L15" s="1">
        <f t="shared" si="5"/>
        <v>2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2.9230976257360202</v>
      </c>
      <c r="I16" s="1">
        <f t="shared" si="2"/>
        <v>2.4679529303993348</v>
      </c>
      <c r="J16" s="1">
        <f t="shared" si="3"/>
        <v>3.1553027949450874</v>
      </c>
      <c r="K16" s="1">
        <f t="shared" si="4"/>
        <v>2.4679529303993348</v>
      </c>
      <c r="L16" s="1">
        <f t="shared" si="5"/>
        <v>2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3.3886729527569268</v>
      </c>
      <c r="I17" s="1">
        <f t="shared" si="2"/>
        <v>1.8541282767561327</v>
      </c>
      <c r="J17" s="1">
        <f t="shared" si="3"/>
        <v>3.670247721405727</v>
      </c>
      <c r="K17" s="1">
        <f t="shared" si="4"/>
        <v>1.8541282767561327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3.3886729527569268</v>
      </c>
      <c r="I18" s="1">
        <f>SQRT((($C18-$C$3)^2)+(($D18-$D$3)^2)+(($E18-$E$3)^2)+(($F18-$F$3)^2)+(($G18-$G$3)^2))</f>
        <v>1.8541282767561327</v>
      </c>
      <c r="J18" s="1">
        <f t="shared" si="3"/>
        <v>3.670247721405727</v>
      </c>
      <c r="K18" s="1">
        <f t="shared" si="4"/>
        <v>1.8541282767561327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2.9263974533827342</v>
      </c>
      <c r="I19" s="1">
        <f t="shared" si="2"/>
        <v>2.4717318489944113</v>
      </c>
      <c r="J19" s="1">
        <f t="shared" si="3"/>
        <v>3.2165098675098576</v>
      </c>
      <c r="K19" s="1">
        <f t="shared" si="4"/>
        <v>2.4717318489944113</v>
      </c>
      <c r="L19" s="1">
        <f t="shared" si="5"/>
        <v>2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2.9267550424353534</v>
      </c>
      <c r="I20" s="1">
        <f t="shared" si="2"/>
        <v>2.4725408658570904</v>
      </c>
      <c r="J20" s="1">
        <f t="shared" si="3"/>
        <v>3.0390682334867507</v>
      </c>
      <c r="K20" s="1">
        <f t="shared" si="4"/>
        <v>2.4725408658570904</v>
      </c>
      <c r="L20" s="1">
        <f t="shared" si="5"/>
        <v>2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2.9263974533827342</v>
      </c>
      <c r="I21" s="1">
        <f t="shared" si="2"/>
        <v>2.4717318489944113</v>
      </c>
      <c r="J21" s="1">
        <f t="shared" si="3"/>
        <v>3.2165098675098576</v>
      </c>
      <c r="K21" s="1">
        <f t="shared" si="4"/>
        <v>2.4717318489944113</v>
      </c>
      <c r="L21" s="1">
        <f t="shared" si="5"/>
        <v>2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3.4422257819955275</v>
      </c>
      <c r="I22" s="1">
        <f t="shared" si="2"/>
        <v>1.9545992769192699</v>
      </c>
      <c r="J22" s="1">
        <f t="shared" si="3"/>
        <v>2.903794532040795</v>
      </c>
      <c r="K22" s="1">
        <f t="shared" si="4"/>
        <v>1.9545992769192699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2.9576997991135916</v>
      </c>
      <c r="I23" s="1">
        <f t="shared" si="2"/>
        <v>2.5094737164061574</v>
      </c>
      <c r="J23" s="1">
        <f t="shared" si="3"/>
        <v>2.8820020346606769</v>
      </c>
      <c r="K23" s="1">
        <f t="shared" si="4"/>
        <v>2.5094737164061574</v>
      </c>
      <c r="L23" s="1">
        <f t="shared" si="5"/>
        <v>2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2.9397179439614058</v>
      </c>
      <c r="I24" s="1">
        <f t="shared" si="2"/>
        <v>2.4859857199911661</v>
      </c>
      <c r="J24" s="1">
        <f t="shared" si="3"/>
        <v>3.5454595687830426</v>
      </c>
      <c r="K24" s="1">
        <f t="shared" si="4"/>
        <v>2.4859857199911661</v>
      </c>
      <c r="L24" s="1">
        <f t="shared" si="5"/>
        <v>2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3.3771237534124552</v>
      </c>
      <c r="I25" s="1">
        <f t="shared" si="2"/>
        <v>1.8349727518412908</v>
      </c>
      <c r="J25" s="1">
        <f t="shared" si="3"/>
        <v>3.3535608702388235</v>
      </c>
      <c r="K25" s="1">
        <f t="shared" si="4"/>
        <v>1.8349727518412908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3.3886729527569268</v>
      </c>
      <c r="I26" s="1">
        <f t="shared" si="2"/>
        <v>1.8541282767561327</v>
      </c>
      <c r="J26" s="1">
        <f t="shared" si="3"/>
        <v>3.670247721405727</v>
      </c>
      <c r="K26" s="1">
        <f t="shared" si="4"/>
        <v>1.8541282767561327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2.9397179439614058</v>
      </c>
      <c r="I27" s="1">
        <f t="shared" si="2"/>
        <v>2.4859857199911661</v>
      </c>
      <c r="J27" s="1">
        <f t="shared" si="3"/>
        <v>3.5454595687830426</v>
      </c>
      <c r="K27" s="1">
        <f t="shared" si="4"/>
        <v>2.4859857199911661</v>
      </c>
      <c r="L27" s="1">
        <f t="shared" si="5"/>
        <v>2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2.9397179439614058</v>
      </c>
      <c r="I28" s="1">
        <f t="shared" si="2"/>
        <v>2.4859857199911661</v>
      </c>
      <c r="J28" s="1">
        <f t="shared" si="3"/>
        <v>3.5454595687830426</v>
      </c>
      <c r="K28" s="1">
        <f t="shared" si="4"/>
        <v>2.4859857199911661</v>
      </c>
      <c r="L28" s="1">
        <f t="shared" si="5"/>
        <v>2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3.3886729527569268</v>
      </c>
      <c r="I29" s="1">
        <f t="shared" si="2"/>
        <v>1.8541282767561327</v>
      </c>
      <c r="J29" s="1">
        <f t="shared" si="3"/>
        <v>3.670247721405727</v>
      </c>
      <c r="K29" s="1">
        <f t="shared" si="4"/>
        <v>1.8541282767561327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3.1265312095039386</v>
      </c>
      <c r="I30" s="1">
        <f t="shared" si="2"/>
        <v>2.7086512633904469</v>
      </c>
      <c r="J30" s="1">
        <f t="shared" si="3"/>
        <v>2.476555477298279</v>
      </c>
      <c r="K30" s="1">
        <f t="shared" si="4"/>
        <v>2.476555477298279</v>
      </c>
      <c r="L30" s="1">
        <f t="shared" si="5"/>
        <v>3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3.3886729527569268</v>
      </c>
      <c r="I31" s="1">
        <f t="shared" si="2"/>
        <v>1.8541282767561327</v>
      </c>
      <c r="J31" s="1">
        <f t="shared" si="3"/>
        <v>3.670247721405727</v>
      </c>
      <c r="K31" s="1">
        <f t="shared" si="4"/>
        <v>1.8541282767561327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3.3886729527569268</v>
      </c>
      <c r="I32" s="1">
        <f t="shared" si="2"/>
        <v>1.8541282767561327</v>
      </c>
      <c r="J32" s="1">
        <f t="shared" si="3"/>
        <v>3.670247721405727</v>
      </c>
      <c r="K32" s="1">
        <f t="shared" si="4"/>
        <v>1.8541282767561327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2.9263974533827342</v>
      </c>
      <c r="I33" s="1">
        <f t="shared" si="2"/>
        <v>2.4717318489944113</v>
      </c>
      <c r="J33" s="1">
        <f t="shared" si="3"/>
        <v>3.2165098675098576</v>
      </c>
      <c r="K33" s="1">
        <f t="shared" si="4"/>
        <v>2.4717318489944113</v>
      </c>
      <c r="L33" s="1">
        <f t="shared" si="5"/>
        <v>2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3.454095945301896</v>
      </c>
      <c r="I34" s="1">
        <f t="shared" si="2"/>
        <v>1.972931406139943</v>
      </c>
      <c r="J34" s="1">
        <f t="shared" si="3"/>
        <v>3.1369919248356268</v>
      </c>
      <c r="K34" s="1">
        <f t="shared" si="4"/>
        <v>1.972931406139943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2.6677378639924325</v>
      </c>
      <c r="I35" s="1">
        <f t="shared" si="2"/>
        <v>1.1368633749634707</v>
      </c>
      <c r="J35" s="1">
        <f t="shared" si="3"/>
        <v>2.6648804666816339</v>
      </c>
      <c r="K35" s="1">
        <f t="shared" si="4"/>
        <v>1.1368633749634707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2.7347185917558661</v>
      </c>
      <c r="I36" s="1">
        <f t="shared" si="2"/>
        <v>1.2891049866735704</v>
      </c>
      <c r="J36" s="1">
        <f t="shared" si="3"/>
        <v>2.3059141518309758</v>
      </c>
      <c r="K36" s="1">
        <f t="shared" si="4"/>
        <v>1.2891049866735704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1.9565244955472909</v>
      </c>
      <c r="I37" s="1">
        <f t="shared" si="2"/>
        <v>1.8921218248305256</v>
      </c>
      <c r="J37" s="1">
        <f t="shared" si="3"/>
        <v>3.1354669698615276</v>
      </c>
      <c r="K37" s="1">
        <f t="shared" si="4"/>
        <v>1.8921218248305256</v>
      </c>
      <c r="L37" s="1">
        <f t="shared" si="5"/>
        <v>2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2.6677378639924325</v>
      </c>
      <c r="I38" s="1">
        <f t="shared" si="2"/>
        <v>1.1368633749634707</v>
      </c>
      <c r="J38" s="1">
        <f t="shared" si="3"/>
        <v>2.6648804666816339</v>
      </c>
      <c r="K38" s="1">
        <f t="shared" si="4"/>
        <v>1.1368633749634707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1.9834400957186704</v>
      </c>
      <c r="I39" s="1">
        <f t="shared" si="2"/>
        <v>1.9228776178772613</v>
      </c>
      <c r="J39" s="1">
        <f t="shared" si="3"/>
        <v>2.3594078267662151</v>
      </c>
      <c r="K39" s="1">
        <f t="shared" si="4"/>
        <v>1.9228776178772613</v>
      </c>
      <c r="L39" s="1">
        <f t="shared" si="5"/>
        <v>2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2.5635344803433289</v>
      </c>
      <c r="I40" s="1">
        <f t="shared" si="2"/>
        <v>0.86513486424564656</v>
      </c>
      <c r="J40" s="1">
        <f t="shared" si="3"/>
        <v>2.849077056805303</v>
      </c>
      <c r="K40" s="1">
        <f t="shared" si="4"/>
        <v>0.86513486424564656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2.6677378639924325</v>
      </c>
      <c r="I41" s="1">
        <f t="shared" si="2"/>
        <v>1.1368633749634707</v>
      </c>
      <c r="J41" s="1">
        <f t="shared" si="3"/>
        <v>2.6648804666816339</v>
      </c>
      <c r="K41" s="1">
        <f t="shared" si="4"/>
        <v>1.1368633749634707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2.6677378639924325</v>
      </c>
      <c r="I42" s="1">
        <f t="shared" si="2"/>
        <v>1.1368633749634707</v>
      </c>
      <c r="J42" s="1">
        <f t="shared" si="3"/>
        <v>2.6648804666816339</v>
      </c>
      <c r="K42" s="1">
        <f t="shared" si="4"/>
        <v>1.1368633749634707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2.5672965075134067</v>
      </c>
      <c r="I43" s="1">
        <f t="shared" si="2"/>
        <v>0.87585672344282428</v>
      </c>
      <c r="J43" s="1">
        <f t="shared" si="3"/>
        <v>2.9167173458555027</v>
      </c>
      <c r="K43" s="1">
        <f t="shared" si="4"/>
        <v>0.87585672344282428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2.5824699209040665</v>
      </c>
      <c r="I44" s="1">
        <f t="shared" si="2"/>
        <v>0.91530960153746155</v>
      </c>
      <c r="J44" s="1">
        <f t="shared" si="3"/>
        <v>3.275910240177732</v>
      </c>
      <c r="K44" s="1">
        <f t="shared" si="4"/>
        <v>0.91530960153746155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2.6029209369479824</v>
      </c>
      <c r="I45" s="1">
        <f t="shared" si="2"/>
        <v>0.97730496775571529</v>
      </c>
      <c r="J45" s="1">
        <f t="shared" si="3"/>
        <v>2.5430768914081949</v>
      </c>
      <c r="K45" s="1">
        <f t="shared" si="4"/>
        <v>0.97730496775571529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1.9364525728230113</v>
      </c>
      <c r="I46" s="1">
        <f t="shared" si="2"/>
        <v>1.873354833803071</v>
      </c>
      <c r="J46" s="1">
        <f t="shared" si="3"/>
        <v>2.7580437438528187</v>
      </c>
      <c r="K46" s="1">
        <f t="shared" si="4"/>
        <v>1.873354833803071</v>
      </c>
      <c r="L46" s="1">
        <f t="shared" si="5"/>
        <v>2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2.1995955673296206</v>
      </c>
      <c r="I47" s="1">
        <f t="shared" si="2"/>
        <v>2.1460331622165887</v>
      </c>
      <c r="J47" s="1">
        <f t="shared" si="3"/>
        <v>2.0607778368872451</v>
      </c>
      <c r="K47" s="1">
        <f t="shared" si="4"/>
        <v>2.0607778368872451</v>
      </c>
      <c r="L47" s="1">
        <f t="shared" si="5"/>
        <v>3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1.9834400957186704</v>
      </c>
      <c r="I48" s="1">
        <f t="shared" si="2"/>
        <v>1.9228776178772613</v>
      </c>
      <c r="J48" s="1">
        <f t="shared" si="3"/>
        <v>2.3594078267662151</v>
      </c>
      <c r="K48" s="1">
        <f t="shared" si="4"/>
        <v>1.9228776178772613</v>
      </c>
      <c r="L48" s="1">
        <f t="shared" si="5"/>
        <v>2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2.6468651417140179</v>
      </c>
      <c r="I49" s="1">
        <f t="shared" si="2"/>
        <v>2.6060426576196583</v>
      </c>
      <c r="J49" s="1">
        <f t="shared" si="3"/>
        <v>1.3453061998171796</v>
      </c>
      <c r="K49" s="1">
        <f t="shared" si="4"/>
        <v>1.3453061998171796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2.1995955673296206</v>
      </c>
      <c r="I50" s="1">
        <f t="shared" si="2"/>
        <v>2.1460331622165887</v>
      </c>
      <c r="J50" s="1">
        <f t="shared" si="3"/>
        <v>2.0607778368872451</v>
      </c>
      <c r="K50" s="1">
        <f t="shared" si="4"/>
        <v>2.0607778368872451</v>
      </c>
      <c r="L50" s="1">
        <f t="shared" si="5"/>
        <v>3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2.5635344803433289</v>
      </c>
      <c r="I51" s="1">
        <f t="shared" si="2"/>
        <v>0.86513486424564656</v>
      </c>
      <c r="J51" s="1">
        <f t="shared" si="3"/>
        <v>2.849077056805303</v>
      </c>
      <c r="K51" s="1">
        <f t="shared" si="4"/>
        <v>0.86513486424564656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2.5824699209040665</v>
      </c>
      <c r="I52" s="1">
        <f t="shared" si="2"/>
        <v>0.91530960153746155</v>
      </c>
      <c r="J52" s="1">
        <f t="shared" si="3"/>
        <v>3.275910240177732</v>
      </c>
      <c r="K52" s="1">
        <f t="shared" si="4"/>
        <v>0.91530960153746155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2.1995955673296206</v>
      </c>
      <c r="I53" s="1">
        <f t="shared" si="2"/>
        <v>2.1460331622165887</v>
      </c>
      <c r="J53" s="1">
        <f t="shared" si="3"/>
        <v>2.0607778368872451</v>
      </c>
      <c r="K53" s="1">
        <f t="shared" si="4"/>
        <v>2.0607778368872451</v>
      </c>
      <c r="L53" s="1">
        <f t="shared" si="5"/>
        <v>3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1.9434654278166212</v>
      </c>
      <c r="I54" s="1">
        <f t="shared" si="2"/>
        <v>0.40880924647077205</v>
      </c>
      <c r="J54" s="1">
        <f t="shared" si="3"/>
        <v>2.7871328710400154</v>
      </c>
      <c r="K54" s="1">
        <f t="shared" si="4"/>
        <v>0.40880924647077205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1.0069928566303181</v>
      </c>
      <c r="I55" s="1">
        <f t="shared" si="2"/>
        <v>1.7263038550614427</v>
      </c>
      <c r="J55" s="1">
        <f t="shared" si="3"/>
        <v>3.0152981086967205</v>
      </c>
      <c r="K55" s="1">
        <f t="shared" si="4"/>
        <v>1.0069928566303181</v>
      </c>
      <c r="L55" s="1">
        <f t="shared" si="5"/>
        <v>1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1.0069928566303181</v>
      </c>
      <c r="I56" s="1">
        <f t="shared" si="2"/>
        <v>1.7263038550614427</v>
      </c>
      <c r="J56" s="1">
        <f t="shared" si="3"/>
        <v>3.0152981086967205</v>
      </c>
      <c r="K56" s="1">
        <f t="shared" si="4"/>
        <v>1.0069928566303181</v>
      </c>
      <c r="L56" s="1">
        <f t="shared" si="5"/>
        <v>1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2.4182132957076075</v>
      </c>
      <c r="I57" s="1">
        <f t="shared" si="2"/>
        <v>1.497261388891955</v>
      </c>
      <c r="J57" s="1">
        <f t="shared" si="3"/>
        <v>2.3048768875839585</v>
      </c>
      <c r="K57" s="1">
        <f t="shared" si="4"/>
        <v>1.497261388891955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0.95738850674079656</v>
      </c>
      <c r="I58" s="1">
        <f t="shared" si="2"/>
        <v>1.7002328271935774</v>
      </c>
      <c r="J58" s="1">
        <f t="shared" si="3"/>
        <v>2.5451276703189301</v>
      </c>
      <c r="K58" s="1">
        <f t="shared" si="4"/>
        <v>0.95738850674079656</v>
      </c>
      <c r="L58" s="1">
        <f t="shared" si="5"/>
        <v>1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1.4227674340678531</v>
      </c>
      <c r="I59" s="1">
        <f t="shared" si="2"/>
        <v>2.0013641181287656</v>
      </c>
      <c r="J59" s="1">
        <f t="shared" si="3"/>
        <v>1.8728787622863003</v>
      </c>
      <c r="K59" s="1">
        <f t="shared" si="4"/>
        <v>1.4227674340678531</v>
      </c>
      <c r="L59" s="1">
        <f t="shared" si="5"/>
        <v>1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2.4796074725560198</v>
      </c>
      <c r="I60" s="1">
        <f t="shared" si="2"/>
        <v>1.594717843381706</v>
      </c>
      <c r="J60" s="1">
        <f t="shared" si="3"/>
        <v>2.2896413402362206</v>
      </c>
      <c r="K60" s="1">
        <f t="shared" si="4"/>
        <v>1.594717843381706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1.2090115929589509</v>
      </c>
      <c r="I61" s="1">
        <f t="shared" si="2"/>
        <v>1.8533190946695242</v>
      </c>
      <c r="J61" s="1">
        <f t="shared" si="3"/>
        <v>2.3370970635191899</v>
      </c>
      <c r="K61" s="1">
        <f t="shared" si="4"/>
        <v>1.2090115929589509</v>
      </c>
      <c r="L61" s="1">
        <f t="shared" si="5"/>
        <v>1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1.9634656615286563</v>
      </c>
      <c r="I62" s="1">
        <f t="shared" si="2"/>
        <v>0.48763886910978188</v>
      </c>
      <c r="J62" s="1">
        <f t="shared" si="3"/>
        <v>3.1610848560136304</v>
      </c>
      <c r="K62" s="1">
        <f t="shared" si="4"/>
        <v>0.48763886910978188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1.9634656615286563</v>
      </c>
      <c r="I63" s="1">
        <f t="shared" si="2"/>
        <v>0.48763886910978188</v>
      </c>
      <c r="J63" s="1">
        <f t="shared" si="3"/>
        <v>3.1610848560136304</v>
      </c>
      <c r="K63" s="1">
        <f t="shared" si="4"/>
        <v>0.48763886910978188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1.9440038303393994</v>
      </c>
      <c r="I64" s="1">
        <f t="shared" si="2"/>
        <v>0.41367257583746148</v>
      </c>
      <c r="J64" s="1">
        <f t="shared" si="3"/>
        <v>2.5803313044707572</v>
      </c>
      <c r="K64" s="1">
        <f t="shared" si="4"/>
        <v>0.41367257583746148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1.9440038303393994</v>
      </c>
      <c r="I65" s="1">
        <f t="shared" si="2"/>
        <v>0.41367257583746148</v>
      </c>
      <c r="J65" s="1">
        <f t="shared" si="3"/>
        <v>2.5803313044707572</v>
      </c>
      <c r="K65" s="1">
        <f t="shared" si="4"/>
        <v>0.41367257583746148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1.9384931115526429</v>
      </c>
      <c r="I66" s="1">
        <f t="shared" si="2"/>
        <v>0.38530291114048665</v>
      </c>
      <c r="J66" s="1">
        <f t="shared" si="3"/>
        <v>2.7162675937454615</v>
      </c>
      <c r="K66" s="1">
        <f t="shared" si="4"/>
        <v>0.38530291114048665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0.96849785837480384</v>
      </c>
      <c r="I67" s="1">
        <f t="shared" si="2"/>
        <v>1.7068855653890016</v>
      </c>
      <c r="J67" s="1">
        <f t="shared" si="3"/>
        <v>2.3995155465683204</v>
      </c>
      <c r="K67" s="1">
        <f t="shared" si="4"/>
        <v>0.96849785837480384</v>
      </c>
      <c r="L67" s="1">
        <f t="shared" si="5"/>
        <v>1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1.9434654278166212</v>
      </c>
      <c r="I68" s="1">
        <f t="shared" si="2"/>
        <v>0.40880924647077205</v>
      </c>
      <c r="J68" s="1">
        <f t="shared" si="3"/>
        <v>2.7871328710400154</v>
      </c>
      <c r="K68" s="1">
        <f t="shared" si="4"/>
        <v>0.40880924647077205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1.9434654278166212</v>
      </c>
      <c r="I69" s="1">
        <f t="shared" si="2"/>
        <v>0.40880924647077205</v>
      </c>
      <c r="J69" s="1">
        <f t="shared" si="3"/>
        <v>2.7871328710400154</v>
      </c>
      <c r="K69" s="1">
        <f t="shared" si="4"/>
        <v>0.40880924647077205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1.0069928566303181</v>
      </c>
      <c r="I70" s="1">
        <f t="shared" si="2"/>
        <v>1.7263038550614427</v>
      </c>
      <c r="J70" s="1">
        <f t="shared" si="3"/>
        <v>3.0152981086967205</v>
      </c>
      <c r="K70" s="1">
        <f t="shared" si="4"/>
        <v>1.0069928566303181</v>
      </c>
      <c r="L70" s="1">
        <f t="shared" si="5"/>
        <v>1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1.9634656615286563</v>
      </c>
      <c r="I71" s="1">
        <f t="shared" si="2"/>
        <v>0.48763886910978188</v>
      </c>
      <c r="J71" s="1">
        <f t="shared" si="3"/>
        <v>3.1610848560136304</v>
      </c>
      <c r="K71" s="1">
        <f t="shared" si="4"/>
        <v>0.48763886910978188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1.9634656615286563</v>
      </c>
      <c r="I72" s="1">
        <f t="shared" si="2"/>
        <v>0.48763886910978188</v>
      </c>
      <c r="J72" s="1">
        <f t="shared" si="3"/>
        <v>3.1610848560136304</v>
      </c>
      <c r="K72" s="1">
        <f t="shared" si="4"/>
        <v>0.48763886910978188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2.6298089433304401</v>
      </c>
      <c r="I73" s="1">
        <f t="shared" si="2"/>
        <v>2.9874389812457536</v>
      </c>
      <c r="J73" s="1">
        <f t="shared" si="3"/>
        <v>0.73237320431387687</v>
      </c>
      <c r="K73" s="1">
        <f t="shared" si="4"/>
        <v>0.73237320431387687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2.9693531061694971</v>
      </c>
      <c r="I74" s="1">
        <f t="shared" si="2"/>
        <v>3.2913206569197517</v>
      </c>
      <c r="J74" s="1">
        <f t="shared" si="3"/>
        <v>0.81364776427519236</v>
      </c>
      <c r="K74" s="1">
        <f t="shared" si="4"/>
        <v>0.81364776427519236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1.0069928566303181</v>
      </c>
      <c r="I75" s="1">
        <f t="shared" ref="I75:I135" si="7">SQRT((($C75-$C$3)^2)+(($D75-$D$3)^2)+(($E75-$E$3)^2)+(($F75-$F$3)^2)+(($G75-$G$3)^2))</f>
        <v>1.7263038550614427</v>
      </c>
      <c r="J75" s="1">
        <f t="shared" ref="J75:J135" si="8">SQRT((($C75-$C$4)^2)+(($D75-$D$4)^2)+(($E75-$E$4)^2)+(($F75-$F$4)^2)+(($G75-$G$4)^2))</f>
        <v>3.0152981086967205</v>
      </c>
      <c r="K75" s="1">
        <f t="shared" ref="K75:K135" si="9">MIN(H75:J75)</f>
        <v>1.0069928566303181</v>
      </c>
      <c r="L75" s="1">
        <f t="shared" ref="L75:L135" si="10">IF(K75=J75, $J$9, IF(K75=I75, $I$9, IF(K75=H75, $H$9)))</f>
        <v>1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1.9634656615286563</v>
      </c>
      <c r="I76" s="1">
        <f t="shared" si="7"/>
        <v>0.48763886910978188</v>
      </c>
      <c r="J76" s="1">
        <f t="shared" si="8"/>
        <v>3.1610848560136304</v>
      </c>
      <c r="K76" s="1">
        <f t="shared" si="9"/>
        <v>0.48763886910978188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1.9634656615286563</v>
      </c>
      <c r="I77" s="1">
        <f t="shared" si="7"/>
        <v>0.48763886910978188</v>
      </c>
      <c r="J77" s="1">
        <f t="shared" si="8"/>
        <v>3.1610848560136304</v>
      </c>
      <c r="K77" s="1">
        <f t="shared" si="9"/>
        <v>0.48763886910978188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2.4182132957076075</v>
      </c>
      <c r="I78" s="1">
        <f t="shared" si="7"/>
        <v>1.497261388891955</v>
      </c>
      <c r="J78" s="1">
        <f t="shared" si="8"/>
        <v>2.3048768875839585</v>
      </c>
      <c r="K78" s="1">
        <f t="shared" si="9"/>
        <v>1.497261388891955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1.0069928566303181</v>
      </c>
      <c r="I79" s="1">
        <f t="shared" si="7"/>
        <v>1.7263038550614427</v>
      </c>
      <c r="J79" s="1">
        <f t="shared" si="8"/>
        <v>3.0152981086967205</v>
      </c>
      <c r="K79" s="1">
        <f t="shared" si="9"/>
        <v>1.0069928566303181</v>
      </c>
      <c r="L79" s="1">
        <f t="shared" si="10"/>
        <v>1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2.1597991313367766</v>
      </c>
      <c r="I80" s="1">
        <f t="shared" si="7"/>
        <v>1.0304327569844947</v>
      </c>
      <c r="J80" s="1">
        <f t="shared" si="8"/>
        <v>2.1396517569061935</v>
      </c>
      <c r="K80" s="1">
        <f t="shared" si="9"/>
        <v>1.0304327569844947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2.2057719651273335</v>
      </c>
      <c r="I81" s="1">
        <f t="shared" si="7"/>
        <v>1.123888339649451</v>
      </c>
      <c r="J81" s="1">
        <f t="shared" si="8"/>
        <v>2.0995498662407996</v>
      </c>
      <c r="K81" s="1">
        <f t="shared" si="9"/>
        <v>1.123888339649451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1.0069928566303181</v>
      </c>
      <c r="I82" s="1">
        <f t="shared" si="7"/>
        <v>1.7263038550614427</v>
      </c>
      <c r="J82" s="1">
        <f t="shared" si="8"/>
        <v>3.0152981086967205</v>
      </c>
      <c r="K82" s="1">
        <f t="shared" si="9"/>
        <v>1.0069928566303181</v>
      </c>
      <c r="L82" s="1">
        <f t="shared" si="10"/>
        <v>1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1.9384931115526429</v>
      </c>
      <c r="I83" s="1">
        <f t="shared" si="7"/>
        <v>0.38530291114048665</v>
      </c>
      <c r="J83" s="1">
        <f t="shared" si="8"/>
        <v>2.7162675937454615</v>
      </c>
      <c r="K83" s="1">
        <f t="shared" si="9"/>
        <v>0.38530291114048665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1.7439162582045249</v>
      </c>
      <c r="I84" s="1">
        <f t="shared" si="7"/>
        <v>1.2797623477297131</v>
      </c>
      <c r="J84" s="1">
        <f t="shared" si="8"/>
        <v>3.3545978942544079</v>
      </c>
      <c r="K84" s="1">
        <f t="shared" si="9"/>
        <v>1.2797623477297131</v>
      </c>
      <c r="L84" s="1">
        <f t="shared" si="10"/>
        <v>2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0.34920136031904991</v>
      </c>
      <c r="I85" s="1">
        <f t="shared" si="7"/>
        <v>2.0759234892773222</v>
      </c>
      <c r="J85" s="1">
        <f t="shared" si="8"/>
        <v>2.851060227957392</v>
      </c>
      <c r="K85" s="1">
        <f t="shared" si="9"/>
        <v>0.34920136031904991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3.6043045594803078</v>
      </c>
      <c r="I86" s="1">
        <f t="shared" si="7"/>
        <v>3.4122023679729199</v>
      </c>
      <c r="J86" s="1">
        <f t="shared" si="8"/>
        <v>1.7818715336889157</v>
      </c>
      <c r="K86" s="1">
        <f t="shared" si="9"/>
        <v>1.7818715336889157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0.80483261833566799</v>
      </c>
      <c r="I87" s="1">
        <f t="shared" si="7"/>
        <v>2.1988159692586065</v>
      </c>
      <c r="J87" s="1">
        <f t="shared" si="8"/>
        <v>2.5928540740904436</v>
      </c>
      <c r="K87" s="1">
        <f t="shared" si="9"/>
        <v>0.80483261833566799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0.34920136031904991</v>
      </c>
      <c r="I88" s="1">
        <f t="shared" si="7"/>
        <v>2.0759234892773222</v>
      </c>
      <c r="J88" s="1">
        <f t="shared" si="8"/>
        <v>2.851060227957392</v>
      </c>
      <c r="K88" s="1">
        <f t="shared" si="9"/>
        <v>0.34920136031904991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0.32037363260305862</v>
      </c>
      <c r="I89" s="1">
        <f t="shared" si="7"/>
        <v>2.0714226190390663</v>
      </c>
      <c r="J89" s="1">
        <f t="shared" si="8"/>
        <v>2.7818239382535439</v>
      </c>
      <c r="K89" s="1">
        <f t="shared" si="9"/>
        <v>0.32037363260305862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3.6210093940652981</v>
      </c>
      <c r="I90" s="1">
        <f t="shared" si="7"/>
        <v>4.1659082643124377</v>
      </c>
      <c r="J90" s="1">
        <f t="shared" si="8"/>
        <v>1.7579202353563246</v>
      </c>
      <c r="K90" s="1">
        <f t="shared" si="9"/>
        <v>1.7579202353563246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0.44730428673599359</v>
      </c>
      <c r="I91" s="1">
        <f t="shared" si="7"/>
        <v>2.09287481708773</v>
      </c>
      <c r="J91" s="1">
        <f t="shared" si="8"/>
        <v>3.2175910631289697</v>
      </c>
      <c r="K91" s="1">
        <f t="shared" si="9"/>
        <v>0.44730428673599359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0.34920136031904991</v>
      </c>
      <c r="I92" s="1">
        <f t="shared" si="7"/>
        <v>2.0759234892773222</v>
      </c>
      <c r="J92" s="1">
        <f t="shared" si="8"/>
        <v>2.851060227957392</v>
      </c>
      <c r="K92" s="1">
        <f t="shared" si="9"/>
        <v>0.34920136031904991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0.80483261833566799</v>
      </c>
      <c r="I93" s="1">
        <f t="shared" si="7"/>
        <v>2.1988159692586065</v>
      </c>
      <c r="J93" s="1">
        <f t="shared" si="8"/>
        <v>2.5928540740904436</v>
      </c>
      <c r="K93" s="1">
        <f t="shared" si="9"/>
        <v>0.80483261833566799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1.7157511635330325</v>
      </c>
      <c r="I94" s="1">
        <f t="shared" si="7"/>
        <v>1.2443706575346969</v>
      </c>
      <c r="J94" s="1">
        <f t="shared" si="8"/>
        <v>2.9392140456334839</v>
      </c>
      <c r="K94" s="1">
        <f t="shared" si="9"/>
        <v>1.2443706575346969</v>
      </c>
      <c r="L94" s="1">
        <f t="shared" si="10"/>
        <v>2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1.7740604350635798</v>
      </c>
      <c r="I95" s="1">
        <f t="shared" si="7"/>
        <v>1.3248113073188954</v>
      </c>
      <c r="J95" s="1">
        <f t="shared" si="8"/>
        <v>2.6436677563659834</v>
      </c>
      <c r="K95" s="1">
        <f t="shared" si="9"/>
        <v>1.3248113073188954</v>
      </c>
      <c r="L95" s="1">
        <f t="shared" si="10"/>
        <v>2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1.7740604350635798</v>
      </c>
      <c r="I96" s="1">
        <f t="shared" si="7"/>
        <v>1.3248113073188954</v>
      </c>
      <c r="J96" s="1">
        <f t="shared" si="8"/>
        <v>2.6436677563659834</v>
      </c>
      <c r="K96" s="1">
        <f t="shared" si="9"/>
        <v>1.3248113073188954</v>
      </c>
      <c r="L96" s="1">
        <f t="shared" si="10"/>
        <v>2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1.7213670093115965</v>
      </c>
      <c r="I97" s="1">
        <f t="shared" si="7"/>
        <v>1.2518486330223797</v>
      </c>
      <c r="J97" s="1">
        <f t="shared" si="8"/>
        <v>3.0048259859847377</v>
      </c>
      <c r="K97" s="1">
        <f t="shared" si="9"/>
        <v>1.2518486330223797</v>
      </c>
      <c r="L97" s="1">
        <f t="shared" si="10"/>
        <v>2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1.7157511635330325</v>
      </c>
      <c r="I98" s="1">
        <f t="shared" si="7"/>
        <v>1.2443706575346969</v>
      </c>
      <c r="J98" s="1">
        <f t="shared" si="8"/>
        <v>2.9392140456334839</v>
      </c>
      <c r="K98" s="1">
        <f t="shared" si="9"/>
        <v>1.2443706575346969</v>
      </c>
      <c r="L98" s="1">
        <f t="shared" si="10"/>
        <v>2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4.339819652163496</v>
      </c>
      <c r="I99" s="1">
        <f t="shared" si="7"/>
        <v>4.1833549136229564</v>
      </c>
      <c r="J99" s="1">
        <f t="shared" si="8"/>
        <v>2.2575142326011979</v>
      </c>
      <c r="K99" s="1">
        <f t="shared" si="9"/>
        <v>2.2575142326011979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4.7493046942074333</v>
      </c>
      <c r="I100" s="1">
        <f t="shared" si="7"/>
        <v>4.6075798057837982</v>
      </c>
      <c r="J100" s="1">
        <f t="shared" si="8"/>
        <v>2.5830258775920183</v>
      </c>
      <c r="K100" s="1">
        <f t="shared" si="9"/>
        <v>2.5830258775920183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0.34920136031904991</v>
      </c>
      <c r="I101" s="1">
        <f t="shared" si="7"/>
        <v>2.0759234892773222</v>
      </c>
      <c r="J101" s="1">
        <f t="shared" si="8"/>
        <v>2.851060227957392</v>
      </c>
      <c r="K101" s="1">
        <f t="shared" si="9"/>
        <v>0.34920136031904991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0.44730428673599359</v>
      </c>
      <c r="I102" s="1">
        <f t="shared" si="7"/>
        <v>2.09287481708773</v>
      </c>
      <c r="J102" s="1">
        <f t="shared" si="8"/>
        <v>3.2175910631289697</v>
      </c>
      <c r="K102" s="1">
        <f t="shared" si="9"/>
        <v>0.44730428673599359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4.7434985822018545</v>
      </c>
      <c r="I103" s="1">
        <f t="shared" si="7"/>
        <v>5.1733411189803959</v>
      </c>
      <c r="J103" s="1">
        <f t="shared" si="8"/>
        <v>2.6708289035683483</v>
      </c>
      <c r="K103" s="1">
        <f t="shared" si="9"/>
        <v>2.6708289035683483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1.7157511635330325</v>
      </c>
      <c r="I104" s="1">
        <f t="shared" si="7"/>
        <v>1.2443706575346969</v>
      </c>
      <c r="J104" s="1">
        <f t="shared" si="8"/>
        <v>2.9392140456334839</v>
      </c>
      <c r="K104" s="1">
        <f t="shared" si="9"/>
        <v>1.2443706575346969</v>
      </c>
      <c r="L104" s="1">
        <f t="shared" si="10"/>
        <v>2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3.0673202014063761</v>
      </c>
      <c r="I105" s="1">
        <f t="shared" si="7"/>
        <v>3.9777872827322813</v>
      </c>
      <c r="J105" s="1">
        <f t="shared" si="8"/>
        <v>3.1263016192851261</v>
      </c>
      <c r="K105" s="1">
        <f t="shared" si="9"/>
        <v>3.0673202014063761</v>
      </c>
      <c r="L105" s="1">
        <f t="shared" si="10"/>
        <v>1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5.6134255353760114</v>
      </c>
      <c r="I106" s="1">
        <f t="shared" si="7"/>
        <v>5.6931354864140262</v>
      </c>
      <c r="J106" s="1">
        <f t="shared" si="8"/>
        <v>3.7094856185022791</v>
      </c>
      <c r="K106" s="1">
        <f t="shared" si="9"/>
        <v>3.7094856185022791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3.3482153815445423</v>
      </c>
      <c r="I107" s="1">
        <f t="shared" si="7"/>
        <v>4.1984272849087985</v>
      </c>
      <c r="J107" s="1">
        <f t="shared" si="8"/>
        <v>3.2347738429053741</v>
      </c>
      <c r="K107" s="1">
        <f t="shared" si="9"/>
        <v>3.2347738429053741</v>
      </c>
      <c r="L107" s="1">
        <f t="shared" si="10"/>
        <v>3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5.9002236622408883</v>
      </c>
      <c r="I108" s="1">
        <f t="shared" si="7"/>
        <v>6.4269841294342722</v>
      </c>
      <c r="J108" s="1">
        <f t="shared" si="8"/>
        <v>4.0144116561682592</v>
      </c>
      <c r="K108" s="1">
        <f t="shared" si="9"/>
        <v>4.0144116561682592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1.1773392189850398</v>
      </c>
      <c r="I109" s="1">
        <f t="shared" si="7"/>
        <v>2.7892875434418731</v>
      </c>
      <c r="J109" s="1">
        <f t="shared" si="8"/>
        <v>3.6896831591269197</v>
      </c>
      <c r="K109" s="1">
        <f t="shared" si="9"/>
        <v>1.1773392189850398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6.5019200891630948</v>
      </c>
      <c r="I110" s="1">
        <f t="shared" si="7"/>
        <v>6.5720462313245083</v>
      </c>
      <c r="J110" s="1">
        <f t="shared" si="8"/>
        <v>4.4566341449238704</v>
      </c>
      <c r="K110" s="1">
        <f t="shared" si="9"/>
        <v>4.4566341449238704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4.3705501978479937</v>
      </c>
      <c r="I111" s="1">
        <f t="shared" si="7"/>
        <v>5.0553725546854276</v>
      </c>
      <c r="J111" s="1">
        <f t="shared" si="8"/>
        <v>2.9023717568128311</v>
      </c>
      <c r="K111" s="1">
        <f t="shared" si="9"/>
        <v>2.9023717568128311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1.1352029669161312</v>
      </c>
      <c r="I112" s="1">
        <f t="shared" si="7"/>
        <v>2.7732276622496514</v>
      </c>
      <c r="J112" s="1">
        <f t="shared" si="8"/>
        <v>3.3165364446449024</v>
      </c>
      <c r="K112" s="1">
        <f t="shared" si="9"/>
        <v>1.1352029669161312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2.0560375549240288</v>
      </c>
      <c r="I113" s="1">
        <f t="shared" si="7"/>
        <v>2.2445025432524393</v>
      </c>
      <c r="J113" s="1">
        <f t="shared" si="8"/>
        <v>3.8097502014375562</v>
      </c>
      <c r="K113" s="1">
        <f t="shared" si="9"/>
        <v>2.0560375549240288</v>
      </c>
      <c r="L113" s="1">
        <f t="shared" si="10"/>
        <v>1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2.0560375549240288</v>
      </c>
      <c r="I114" s="1">
        <f t="shared" si="7"/>
        <v>2.2445025432524393</v>
      </c>
      <c r="J114" s="1">
        <f t="shared" si="8"/>
        <v>3.8097502014375562</v>
      </c>
      <c r="K114" s="1">
        <f t="shared" si="9"/>
        <v>2.0560375549240288</v>
      </c>
      <c r="L114" s="1">
        <f t="shared" si="10"/>
        <v>1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2.0374601629553575</v>
      </c>
      <c r="I115" s="1">
        <f t="shared" si="7"/>
        <v>2.2296019824174897</v>
      </c>
      <c r="J115" s="1">
        <f t="shared" si="8"/>
        <v>3.3436280850696511</v>
      </c>
      <c r="K115" s="1">
        <f t="shared" si="9"/>
        <v>2.0374601629553575</v>
      </c>
      <c r="L115" s="1">
        <f t="shared" si="10"/>
        <v>1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2.0369464628149307</v>
      </c>
      <c r="I116" s="1">
        <f t="shared" si="7"/>
        <v>2.2287047808087999</v>
      </c>
      <c r="J116" s="1">
        <f t="shared" si="8"/>
        <v>3.5056880596063507</v>
      </c>
      <c r="K116" s="1">
        <f t="shared" si="9"/>
        <v>2.0369464628149307</v>
      </c>
      <c r="L116" s="1">
        <f t="shared" si="10"/>
        <v>1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2.0560375549240288</v>
      </c>
      <c r="I117" s="1">
        <f t="shared" si="7"/>
        <v>2.2445025432524393</v>
      </c>
      <c r="J117" s="1">
        <f t="shared" si="8"/>
        <v>3.8097502014375562</v>
      </c>
      <c r="K117" s="1">
        <f t="shared" si="9"/>
        <v>2.0560375549240288</v>
      </c>
      <c r="L117" s="1">
        <f t="shared" si="10"/>
        <v>1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2.0560375549240288</v>
      </c>
      <c r="I118" s="1">
        <f t="shared" si="7"/>
        <v>2.2445025432524393</v>
      </c>
      <c r="J118" s="1">
        <f t="shared" si="8"/>
        <v>3.8097502014375562</v>
      </c>
      <c r="K118" s="1">
        <f t="shared" si="9"/>
        <v>2.0560375549240288</v>
      </c>
      <c r="L118" s="1">
        <f t="shared" si="10"/>
        <v>1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1.1773392189850398</v>
      </c>
      <c r="I119" s="1">
        <f t="shared" si="7"/>
        <v>2.7892875434418731</v>
      </c>
      <c r="J119" s="1">
        <f t="shared" si="8"/>
        <v>3.6896831591269197</v>
      </c>
      <c r="K119" s="1">
        <f t="shared" si="9"/>
        <v>1.1773392189850398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1.1773392189850398</v>
      </c>
      <c r="I120" s="1">
        <f t="shared" si="7"/>
        <v>2.7892875434418731</v>
      </c>
      <c r="J120" s="1">
        <f t="shared" si="8"/>
        <v>3.6896831591269197</v>
      </c>
      <c r="K120" s="1">
        <f t="shared" si="9"/>
        <v>1.1773392189850398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2.0369464628149307</v>
      </c>
      <c r="I121" s="1">
        <f t="shared" si="7"/>
        <v>2.2287047808087999</v>
      </c>
      <c r="J121" s="1">
        <f t="shared" si="8"/>
        <v>3.5056880596063507</v>
      </c>
      <c r="K121" s="1">
        <f t="shared" si="9"/>
        <v>2.0369464628149307</v>
      </c>
      <c r="L121" s="1">
        <f t="shared" si="10"/>
        <v>1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2.0560375549240288</v>
      </c>
      <c r="I122" s="1">
        <f t="shared" si="7"/>
        <v>2.2445025432524393</v>
      </c>
      <c r="J122" s="1">
        <f t="shared" si="8"/>
        <v>3.8097502014375562</v>
      </c>
      <c r="K122" s="1">
        <f t="shared" si="9"/>
        <v>2.0560375549240288</v>
      </c>
      <c r="L122" s="1">
        <f t="shared" si="10"/>
        <v>1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1.1773392189850398</v>
      </c>
      <c r="I123" s="1">
        <f t="shared" si="7"/>
        <v>2.7892875434418731</v>
      </c>
      <c r="J123" s="1">
        <f t="shared" si="8"/>
        <v>3.6896831591269197</v>
      </c>
      <c r="K123" s="1">
        <f t="shared" si="9"/>
        <v>1.1773392189850398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1.1773392189850398</v>
      </c>
      <c r="I124" s="1">
        <f t="shared" si="7"/>
        <v>2.7892875434418731</v>
      </c>
      <c r="J124" s="1">
        <f t="shared" si="8"/>
        <v>3.6896831591269197</v>
      </c>
      <c r="K124" s="1">
        <f t="shared" si="9"/>
        <v>1.1773392189850398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1.1773392189850398</v>
      </c>
      <c r="I125" s="1">
        <f t="shared" si="7"/>
        <v>2.7892875434418731</v>
      </c>
      <c r="J125" s="1">
        <f t="shared" si="8"/>
        <v>3.6896831591269197</v>
      </c>
      <c r="K125" s="1">
        <f t="shared" si="9"/>
        <v>1.1773392189850398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2.1382642839902206</v>
      </c>
      <c r="I126" s="1">
        <f t="shared" si="7"/>
        <v>3.630444187699351</v>
      </c>
      <c r="J126" s="1">
        <f t="shared" si="8"/>
        <v>4.3444943756393792</v>
      </c>
      <c r="K126" s="1">
        <f t="shared" si="9"/>
        <v>2.1382642839902206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2.7227443763390431</v>
      </c>
      <c r="I127" s="1">
        <f t="shared" si="7"/>
        <v>3.2307571352032434</v>
      </c>
      <c r="J127" s="1">
        <f t="shared" si="8"/>
        <v>4.4469164780295669</v>
      </c>
      <c r="K127" s="1">
        <f t="shared" si="9"/>
        <v>2.7227443763390431</v>
      </c>
      <c r="L127" s="1">
        <f t="shared" si="10"/>
        <v>1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2.1153563027828421</v>
      </c>
      <c r="I128" s="1">
        <f t="shared" si="7"/>
        <v>3.6181199077237154</v>
      </c>
      <c r="J128" s="1">
        <f t="shared" si="8"/>
        <v>4.0324041902908538</v>
      </c>
      <c r="K128" s="1">
        <f t="shared" si="9"/>
        <v>2.1153563027828421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2.704791133973337</v>
      </c>
      <c r="I129" s="1">
        <f t="shared" si="7"/>
        <v>3.2169019775761485</v>
      </c>
      <c r="J129" s="1">
        <f t="shared" si="8"/>
        <v>4.1425497385648775</v>
      </c>
      <c r="K129" s="1">
        <f t="shared" si="9"/>
        <v>2.704791133973337</v>
      </c>
      <c r="L129" s="1">
        <f t="shared" si="10"/>
        <v>1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2.1153563027828421</v>
      </c>
      <c r="I130" s="1">
        <f t="shared" si="7"/>
        <v>3.6181199077237154</v>
      </c>
      <c r="J130" s="1">
        <f t="shared" si="8"/>
        <v>4.0324041902908538</v>
      </c>
      <c r="K130" s="1">
        <f t="shared" si="9"/>
        <v>2.1153563027828421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4.6240611576890585</v>
      </c>
      <c r="I131" s="1">
        <f t="shared" si="7"/>
        <v>4.9429200209322968</v>
      </c>
      <c r="J131" s="1">
        <f t="shared" si="8"/>
        <v>4.3063982819254987</v>
      </c>
      <c r="K131" s="1">
        <f t="shared" si="9"/>
        <v>4.3063982819254987</v>
      </c>
      <c r="L131" s="1">
        <f t="shared" si="10"/>
        <v>3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2.7227443763390431</v>
      </c>
      <c r="I132" s="1">
        <f t="shared" si="7"/>
        <v>3.2307571352032434</v>
      </c>
      <c r="J132" s="1">
        <f t="shared" si="8"/>
        <v>4.4469164780295669</v>
      </c>
      <c r="K132" s="1">
        <f t="shared" si="9"/>
        <v>2.7227443763390431</v>
      </c>
      <c r="L132" s="1">
        <f t="shared" si="10"/>
        <v>1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2.1382642839902206</v>
      </c>
      <c r="I133" s="1">
        <f t="shared" si="7"/>
        <v>3.630444187699351</v>
      </c>
      <c r="J133" s="1">
        <f t="shared" si="8"/>
        <v>4.3444943756393792</v>
      </c>
      <c r="K133" s="1">
        <f t="shared" si="9"/>
        <v>2.1382642839902206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2.1382642839902206</v>
      </c>
      <c r="I134" s="1">
        <f t="shared" si="7"/>
        <v>3.630444187699351</v>
      </c>
      <c r="J134" s="1">
        <f t="shared" si="8"/>
        <v>4.3444943756393792</v>
      </c>
      <c r="K134" s="1">
        <f t="shared" si="9"/>
        <v>2.1382642839902206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2.1382642839902206</v>
      </c>
      <c r="I135" s="1">
        <f t="shared" si="7"/>
        <v>3.630444187699351</v>
      </c>
      <c r="J135" s="1">
        <f t="shared" si="8"/>
        <v>4.3444943756393792</v>
      </c>
      <c r="K135" s="1">
        <f t="shared" si="9"/>
        <v>2.1382642839902206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2264-48AC-B343-9CA8-0ACC8329AC4A}">
  <dimension ref="A1:L135"/>
  <sheetViews>
    <sheetView workbookViewId="0">
      <selection sqref="A1:L135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4'!$L$10:$L$135,$A$2,'iterasi 4'!C$10:C$135)/$B$2</f>
        <v>0</v>
      </c>
      <c r="D2" s="3">
        <f>SUMIF('iterasi 4'!$L$10:$L$135,$A$2,'iterasi 4'!D$10:D$135)/$B$2</f>
        <v>-0.37209302325581389</v>
      </c>
      <c r="E2" s="3">
        <f>SUMIF('iterasi 4'!$L$10:$L$135,$A$2,'iterasi 4'!E$10:E$135)/$B$2</f>
        <v>-0.43953488372093003</v>
      </c>
      <c r="F2" s="3">
        <f>SUMIF('iterasi 4'!$L$10:$L$135,$A$2,'iterasi 4'!F$10:F$135)/$B$2</f>
        <v>-0.53720930232558173</v>
      </c>
      <c r="G2" s="3">
        <f>SUMIF('iterasi 4'!$L$10:$L$135,$A$2,'iterasi 4'!G$10:G$135)/$B$2</f>
        <v>4.6511627906976747</v>
      </c>
      <c r="H2" s="1"/>
      <c r="I2" s="1"/>
      <c r="J2" s="1"/>
      <c r="K2" s="1">
        <v>1</v>
      </c>
      <c r="L2" s="1">
        <f>COUNTIF($L$10:$L$135,A2)</f>
        <v>41</v>
      </c>
    </row>
    <row r="3" spans="1:12">
      <c r="A3" s="13">
        <v>2</v>
      </c>
      <c r="B3" s="9">
        <f>'iterasi 1'!L3</f>
        <v>60</v>
      </c>
      <c r="C3" s="3">
        <f>SUMIF('iterasi 4'!$L$10:$L$135,$A$3,'iterasi 4'!C$10:C$135)/$B$3</f>
        <v>0</v>
      </c>
      <c r="D3" s="3">
        <f>SUMIF('iterasi 4'!$L$10:$L$135,$A$3,'iterasi 4'!D$10:D$135)/$B$3</f>
        <v>-0.3000000000000001</v>
      </c>
      <c r="E3" s="3">
        <f>SUMIF('iterasi 4'!$L$10:$L$135,$A$3,'iterasi 4'!E$10:E$135)/$B$3</f>
        <v>-0.29499999999999976</v>
      </c>
      <c r="F3" s="3">
        <f>SUMIF('iterasi 4'!$L$10:$L$135,$A$3,'iterasi 4'!F$10:F$135)/$B$3</f>
        <v>0.48499999999999971</v>
      </c>
      <c r="G3" s="3">
        <f>SUMIF('iterasi 4'!$L$10:$L$135,$A$3,'iterasi 4'!G$10:G$135)/$B$3</f>
        <v>2.2666666666666666</v>
      </c>
      <c r="H3" s="1"/>
      <c r="I3" s="1"/>
      <c r="J3" s="1"/>
      <c r="K3" s="1">
        <v>2</v>
      </c>
      <c r="L3" s="1">
        <f t="shared" ref="L3:L4" si="0">COUNTIF($L$10:$L$135,A3)</f>
        <v>70</v>
      </c>
    </row>
    <row r="4" spans="1:12">
      <c r="A4" s="13">
        <v>3</v>
      </c>
      <c r="B4" s="9">
        <f>'iterasi 1'!L4</f>
        <v>23</v>
      </c>
      <c r="C4" s="3">
        <f>SUMIF('iterasi 4'!$L$10:$L$135,$A$4,'iterasi 4'!C$10:C$135)/$B$4</f>
        <v>0</v>
      </c>
      <c r="D4" s="3">
        <f>SUMIF('iterasi 4'!$L$10:$L$135,$A$4,'iterasi 4'!D$10:D$135)/$B$4</f>
        <v>1.4304347826086958</v>
      </c>
      <c r="E4" s="3">
        <f>SUMIF('iterasi 4'!$L$10:$L$135,$A$4,'iterasi 4'!E$10:E$135)/$B$4</f>
        <v>1.5000000000000002</v>
      </c>
      <c r="F4" s="3">
        <f>SUMIF('iterasi 4'!$L$10:$L$135,$A$4,'iterasi 4'!F$10:F$135)/$B$4</f>
        <v>-0.28695652173913033</v>
      </c>
      <c r="G4" s="3">
        <f>SUMIF('iterasi 4'!$L$10:$L$135,$A$4,'iterasi 4'!G$10:G$135)/$B$4</f>
        <v>2.8695652173913042</v>
      </c>
      <c r="H4" s="1"/>
      <c r="I4" s="1"/>
      <c r="J4" s="1"/>
      <c r="K4" s="1">
        <v>3</v>
      </c>
      <c r="L4" s="1">
        <f t="shared" si="0"/>
        <v>15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3.6917972893331119</v>
      </c>
      <c r="I10" s="1">
        <f>SQRT((($C10-$C$3)^2)+(($D10-$D$3)^2)+(($E10-$E$3)^2)+(($F10-$F$3)^2)+(($G10-$G$3)^2))</f>
        <v>2.00342068583821</v>
      </c>
      <c r="J10" s="1">
        <f>SQRT((($C10-$C$4)^2)+(($D10-$D$4)^2)+(($E10-$E$4)^2)+(($F10-$F$4)^2)+(($G10-$G$4)^2))</f>
        <v>3.5454595687830426</v>
      </c>
      <c r="K10" s="1">
        <f>MIN(H10:J10)</f>
        <v>2.00342068583821</v>
      </c>
      <c r="L10" s="1">
        <f>IF(K10=J10, $J$9, IF(K10=I10, $I$9, IF(K10=H10, $H$9)))</f>
        <v>2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3.9337324446964552</v>
      </c>
      <c r="I11" s="1">
        <f t="shared" ref="I11:I74" si="2">SQRT((($C11-$C$3)^2)+(($D11-$D$3)^2)+(($E11-$E$3)^2)+(($F11-$F$3)^2)+(($G11-$G$3)^2))</f>
        <v>1.3633394457890686</v>
      </c>
      <c r="J11" s="1">
        <f t="shared" ref="J11:J74" si="3">SQRT((($C11-$C$4)^2)+(($D11-$D$4)^2)+(($E11-$E$4)^2)+(($F11-$F$4)^2)+(($G11-$G$4)^2))</f>
        <v>3.3535608702388235</v>
      </c>
      <c r="K11" s="1">
        <f t="shared" ref="K11:K74" si="4">MIN(H11:J11)</f>
        <v>1.3633394457890686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3.9345600229713771</v>
      </c>
      <c r="I12" s="1">
        <f t="shared" si="2"/>
        <v>1.4073714664026853</v>
      </c>
      <c r="J12" s="1">
        <f t="shared" si="3"/>
        <v>3.670247721405727</v>
      </c>
      <c r="K12" s="1">
        <f t="shared" si="4"/>
        <v>1.4073714664026853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3.9337324446964552</v>
      </c>
      <c r="I13" s="1">
        <f t="shared" si="2"/>
        <v>1.3633394457890686</v>
      </c>
      <c r="J13" s="1">
        <f t="shared" si="3"/>
        <v>3.3535608702388235</v>
      </c>
      <c r="K13" s="1">
        <f t="shared" si="4"/>
        <v>1.3633394457890686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3.9345600229713771</v>
      </c>
      <c r="I14" s="1">
        <f t="shared" si="2"/>
        <v>1.4073714664026853</v>
      </c>
      <c r="J14" s="1">
        <f t="shared" si="3"/>
        <v>3.670247721405727</v>
      </c>
      <c r="K14" s="1">
        <f t="shared" si="4"/>
        <v>1.4073714664026853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3.6906317310678025</v>
      </c>
      <c r="I15" s="1">
        <f t="shared" si="2"/>
        <v>1.9648649939485521</v>
      </c>
      <c r="J15" s="1">
        <f t="shared" si="3"/>
        <v>3.1553027949450874</v>
      </c>
      <c r="K15" s="1">
        <f t="shared" si="4"/>
        <v>1.9648649939485521</v>
      </c>
      <c r="L15" s="1">
        <f t="shared" si="5"/>
        <v>2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3.6906317310678025</v>
      </c>
      <c r="I16" s="1">
        <f t="shared" si="2"/>
        <v>1.9648649939485521</v>
      </c>
      <c r="J16" s="1">
        <f t="shared" si="3"/>
        <v>3.1553027949450874</v>
      </c>
      <c r="K16" s="1">
        <f t="shared" si="4"/>
        <v>1.9648649939485521</v>
      </c>
      <c r="L16" s="1">
        <f t="shared" si="5"/>
        <v>2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3.9345600229713771</v>
      </c>
      <c r="I17" s="1">
        <f t="shared" si="2"/>
        <v>1.4073714664026853</v>
      </c>
      <c r="J17" s="1">
        <f t="shared" si="3"/>
        <v>3.670247721405727</v>
      </c>
      <c r="K17" s="1">
        <f t="shared" si="4"/>
        <v>1.4073714664026853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3.9345600229713771</v>
      </c>
      <c r="I18" s="1">
        <f>SQRT((($C18-$C$3)^2)+(($D18-$D$3)^2)+(($E18-$E$3)^2)+(($F18-$F$3)^2)+(($G18-$G$3)^2))</f>
        <v>1.4073714664026853</v>
      </c>
      <c r="J18" s="1">
        <f t="shared" si="3"/>
        <v>3.670247721405727</v>
      </c>
      <c r="K18" s="1">
        <f t="shared" si="4"/>
        <v>1.4073714664026853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3.6909152791171373</v>
      </c>
      <c r="I19" s="1">
        <f t="shared" si="2"/>
        <v>1.972737804282273</v>
      </c>
      <c r="J19" s="1">
        <f t="shared" si="3"/>
        <v>3.2165098675098576</v>
      </c>
      <c r="K19" s="1">
        <f t="shared" si="4"/>
        <v>1.972737804282273</v>
      </c>
      <c r="L19" s="1">
        <f t="shared" si="5"/>
        <v>2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3.6981855723926156</v>
      </c>
      <c r="I20" s="1">
        <f t="shared" si="2"/>
        <v>1.9643559871989709</v>
      </c>
      <c r="J20" s="1">
        <f t="shared" si="3"/>
        <v>3.0390682334867507</v>
      </c>
      <c r="K20" s="1">
        <f t="shared" si="4"/>
        <v>1.9643559871989709</v>
      </c>
      <c r="L20" s="1">
        <f t="shared" si="5"/>
        <v>2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3.6909152791171373</v>
      </c>
      <c r="I21" s="1">
        <f t="shared" si="2"/>
        <v>1.972737804282273</v>
      </c>
      <c r="J21" s="1">
        <f t="shared" si="3"/>
        <v>3.2165098675098576</v>
      </c>
      <c r="K21" s="1">
        <f t="shared" si="4"/>
        <v>1.972737804282273</v>
      </c>
      <c r="L21" s="1">
        <f t="shared" si="5"/>
        <v>2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4.0051791781121517</v>
      </c>
      <c r="I22" s="1">
        <f t="shared" si="2"/>
        <v>1.4912057015866202</v>
      </c>
      <c r="J22" s="1">
        <f t="shared" si="3"/>
        <v>2.903794532040795</v>
      </c>
      <c r="K22" s="1">
        <f t="shared" si="4"/>
        <v>1.4912057015866202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3.7296511174753939</v>
      </c>
      <c r="I23" s="1">
        <f t="shared" si="2"/>
        <v>2.0014231048042896</v>
      </c>
      <c r="J23" s="1">
        <f t="shared" si="3"/>
        <v>2.8820020346606769</v>
      </c>
      <c r="K23" s="1">
        <f t="shared" si="4"/>
        <v>2.0014231048042896</v>
      </c>
      <c r="L23" s="1">
        <f t="shared" si="5"/>
        <v>2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3.6917972893331119</v>
      </c>
      <c r="I24" s="1">
        <f t="shared" si="2"/>
        <v>2.00342068583821</v>
      </c>
      <c r="J24" s="1">
        <f t="shared" si="3"/>
        <v>3.5454595687830426</v>
      </c>
      <c r="K24" s="1">
        <f t="shared" si="4"/>
        <v>2.00342068583821</v>
      </c>
      <c r="L24" s="1">
        <f t="shared" si="5"/>
        <v>2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3.9337324446964552</v>
      </c>
      <c r="I25" s="1">
        <f t="shared" si="2"/>
        <v>1.3633394457890686</v>
      </c>
      <c r="J25" s="1">
        <f t="shared" si="3"/>
        <v>3.3535608702388235</v>
      </c>
      <c r="K25" s="1">
        <f t="shared" si="4"/>
        <v>1.3633394457890686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3.9345600229713771</v>
      </c>
      <c r="I26" s="1">
        <f t="shared" si="2"/>
        <v>1.4073714664026853</v>
      </c>
      <c r="J26" s="1">
        <f t="shared" si="3"/>
        <v>3.670247721405727</v>
      </c>
      <c r="K26" s="1">
        <f t="shared" si="4"/>
        <v>1.4073714664026853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3.6917972893331119</v>
      </c>
      <c r="I27" s="1">
        <f t="shared" si="2"/>
        <v>2.00342068583821</v>
      </c>
      <c r="J27" s="1">
        <f t="shared" si="3"/>
        <v>3.5454595687830426</v>
      </c>
      <c r="K27" s="1">
        <f t="shared" si="4"/>
        <v>2.00342068583821</v>
      </c>
      <c r="L27" s="1">
        <f t="shared" si="5"/>
        <v>2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3.6917972893331119</v>
      </c>
      <c r="I28" s="1">
        <f t="shared" si="2"/>
        <v>2.00342068583821</v>
      </c>
      <c r="J28" s="1">
        <f t="shared" si="3"/>
        <v>3.5454595687830426</v>
      </c>
      <c r="K28" s="1">
        <f t="shared" si="4"/>
        <v>2.00342068583821</v>
      </c>
      <c r="L28" s="1">
        <f t="shared" si="5"/>
        <v>2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3.9345600229713771</v>
      </c>
      <c r="I29" s="1">
        <f t="shared" si="2"/>
        <v>1.4073714664026853</v>
      </c>
      <c r="J29" s="1">
        <f t="shared" si="3"/>
        <v>3.670247721405727</v>
      </c>
      <c r="K29" s="1">
        <f t="shared" si="4"/>
        <v>1.4073714664026853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3.8777624532882315</v>
      </c>
      <c r="I30" s="1">
        <f t="shared" si="2"/>
        <v>2.2301781194434769</v>
      </c>
      <c r="J30" s="1">
        <f t="shared" si="3"/>
        <v>2.476555477298279</v>
      </c>
      <c r="K30" s="1">
        <f t="shared" si="4"/>
        <v>2.2301781194434769</v>
      </c>
      <c r="L30" s="1">
        <f t="shared" si="5"/>
        <v>2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3.9345600229713771</v>
      </c>
      <c r="I31" s="1">
        <f t="shared" si="2"/>
        <v>1.4073714664026853</v>
      </c>
      <c r="J31" s="1">
        <f t="shared" si="3"/>
        <v>3.670247721405727</v>
      </c>
      <c r="K31" s="1">
        <f t="shared" si="4"/>
        <v>1.4073714664026853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3.9345600229713771</v>
      </c>
      <c r="I32" s="1">
        <f t="shared" si="2"/>
        <v>1.4073714664026853</v>
      </c>
      <c r="J32" s="1">
        <f t="shared" si="3"/>
        <v>3.670247721405727</v>
      </c>
      <c r="K32" s="1">
        <f t="shared" si="4"/>
        <v>1.4073714664026853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3.6909152791171373</v>
      </c>
      <c r="I33" s="1">
        <f t="shared" si="2"/>
        <v>1.972737804282273</v>
      </c>
      <c r="J33" s="1">
        <f t="shared" si="3"/>
        <v>3.2165098675098576</v>
      </c>
      <c r="K33" s="1">
        <f t="shared" si="4"/>
        <v>1.972737804282273</v>
      </c>
      <c r="L33" s="1">
        <f t="shared" si="5"/>
        <v>2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4.0146904386951894</v>
      </c>
      <c r="I34" s="1">
        <f t="shared" si="2"/>
        <v>1.5164743467808628</v>
      </c>
      <c r="J34" s="1">
        <f t="shared" si="3"/>
        <v>3.1369919248356268</v>
      </c>
      <c r="K34" s="1">
        <f t="shared" si="4"/>
        <v>1.5164743467808628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3.1329560700966144</v>
      </c>
      <c r="I35" s="1">
        <f t="shared" si="2"/>
        <v>0.87542053386421725</v>
      </c>
      <c r="J35" s="1">
        <f t="shared" si="3"/>
        <v>2.6648804666816339</v>
      </c>
      <c r="K35" s="1">
        <f t="shared" si="4"/>
        <v>0.87542053386421725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3.2013906523959621</v>
      </c>
      <c r="I36" s="1">
        <f t="shared" si="2"/>
        <v>1.0413266111605479</v>
      </c>
      <c r="J36" s="1">
        <f t="shared" si="3"/>
        <v>2.3059141518309758</v>
      </c>
      <c r="K36" s="1">
        <f t="shared" si="4"/>
        <v>1.0413266111605479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2.7068508721634377</v>
      </c>
      <c r="I37" s="1">
        <f t="shared" si="2"/>
        <v>1.5749162235214642</v>
      </c>
      <c r="J37" s="1">
        <f t="shared" si="3"/>
        <v>3.1354669698615276</v>
      </c>
      <c r="K37" s="1">
        <f t="shared" si="4"/>
        <v>1.5749162235214642</v>
      </c>
      <c r="L37" s="1">
        <f t="shared" si="5"/>
        <v>2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3.1329560700966144</v>
      </c>
      <c r="I38" s="1">
        <f t="shared" si="2"/>
        <v>0.87542053386421725</v>
      </c>
      <c r="J38" s="1">
        <f t="shared" si="3"/>
        <v>2.6648804666816339</v>
      </c>
      <c r="K38" s="1">
        <f t="shared" si="4"/>
        <v>0.87542053386421725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2.7582552232688879</v>
      </c>
      <c r="I39" s="1">
        <f t="shared" si="2"/>
        <v>1.5723743546341342</v>
      </c>
      <c r="J39" s="1">
        <f t="shared" si="3"/>
        <v>2.3594078267662151</v>
      </c>
      <c r="K39" s="1">
        <f t="shared" si="4"/>
        <v>1.5723743546341342</v>
      </c>
      <c r="L39" s="1">
        <f t="shared" si="5"/>
        <v>2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3.028173103012175</v>
      </c>
      <c r="I40" s="1">
        <f t="shared" si="2"/>
        <v>0.54255056087991604</v>
      </c>
      <c r="J40" s="1">
        <f t="shared" si="3"/>
        <v>2.849077056805303</v>
      </c>
      <c r="K40" s="1">
        <f t="shared" si="4"/>
        <v>0.54255056087991604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3.1329560700966144</v>
      </c>
      <c r="I41" s="1">
        <f t="shared" si="2"/>
        <v>0.87542053386421725</v>
      </c>
      <c r="J41" s="1">
        <f t="shared" si="3"/>
        <v>2.6648804666816339</v>
      </c>
      <c r="K41" s="1">
        <f t="shared" si="4"/>
        <v>0.87542053386421725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3.1329560700966144</v>
      </c>
      <c r="I42" s="1">
        <f t="shared" si="2"/>
        <v>0.87542053386421725</v>
      </c>
      <c r="J42" s="1">
        <f t="shared" si="3"/>
        <v>2.6648804666816339</v>
      </c>
      <c r="K42" s="1">
        <f t="shared" si="4"/>
        <v>0.87542053386421725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3.0285186750393662</v>
      </c>
      <c r="I43" s="1">
        <f t="shared" si="2"/>
        <v>0.57040434001777329</v>
      </c>
      <c r="J43" s="1">
        <f t="shared" si="3"/>
        <v>2.9167173458555027</v>
      </c>
      <c r="K43" s="1">
        <f t="shared" si="4"/>
        <v>0.57040434001777329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3.0295935359333561</v>
      </c>
      <c r="I44" s="1">
        <f t="shared" si="2"/>
        <v>0.66885058952737075</v>
      </c>
      <c r="J44" s="1">
        <f t="shared" si="3"/>
        <v>3.275910240177732</v>
      </c>
      <c r="K44" s="1">
        <f t="shared" si="4"/>
        <v>0.66885058952737075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3.0756084317622934</v>
      </c>
      <c r="I45" s="1">
        <f t="shared" si="2"/>
        <v>0.66284320250803752</v>
      </c>
      <c r="J45" s="1">
        <f t="shared" si="3"/>
        <v>2.5430768914081949</v>
      </c>
      <c r="K45" s="1">
        <f t="shared" si="4"/>
        <v>0.66284320250803752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2.7056477997376134</v>
      </c>
      <c r="I46" s="1">
        <f t="shared" si="2"/>
        <v>1.5356956440359888</v>
      </c>
      <c r="J46" s="1">
        <f t="shared" si="3"/>
        <v>2.7580437438528187</v>
      </c>
      <c r="K46" s="1">
        <f t="shared" si="4"/>
        <v>1.5356956440359888</v>
      </c>
      <c r="L46" s="1">
        <f t="shared" si="5"/>
        <v>2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2.9352025036026421</v>
      </c>
      <c r="I47" s="1">
        <f t="shared" si="2"/>
        <v>1.8183402077474693</v>
      </c>
      <c r="J47" s="1">
        <f t="shared" si="3"/>
        <v>2.0607778368872451</v>
      </c>
      <c r="K47" s="1">
        <f t="shared" si="4"/>
        <v>1.8183402077474693</v>
      </c>
      <c r="L47" s="1">
        <f t="shared" si="5"/>
        <v>2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2.7582552232688879</v>
      </c>
      <c r="I48" s="1">
        <f t="shared" si="2"/>
        <v>1.5723743546341342</v>
      </c>
      <c r="J48" s="1">
        <f t="shared" si="3"/>
        <v>2.3594078267662151</v>
      </c>
      <c r="K48" s="1">
        <f t="shared" si="4"/>
        <v>1.5723743546341342</v>
      </c>
      <c r="L48" s="1">
        <f t="shared" si="5"/>
        <v>2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3.3045169604355764</v>
      </c>
      <c r="I49" s="1">
        <f t="shared" si="2"/>
        <v>2.3225763951076206</v>
      </c>
      <c r="J49" s="1">
        <f t="shared" si="3"/>
        <v>1.3453061998171796</v>
      </c>
      <c r="K49" s="1">
        <f t="shared" si="4"/>
        <v>1.3453061998171796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2.9352025036026421</v>
      </c>
      <c r="I50" s="1">
        <f t="shared" si="2"/>
        <v>1.8183402077474693</v>
      </c>
      <c r="J50" s="1">
        <f t="shared" si="3"/>
        <v>2.0607778368872451</v>
      </c>
      <c r="K50" s="1">
        <f t="shared" si="4"/>
        <v>1.8183402077474693</v>
      </c>
      <c r="L50" s="1">
        <f t="shared" si="5"/>
        <v>2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3.028173103012175</v>
      </c>
      <c r="I51" s="1">
        <f t="shared" si="2"/>
        <v>0.54255056087991604</v>
      </c>
      <c r="J51" s="1">
        <f t="shared" si="3"/>
        <v>2.849077056805303</v>
      </c>
      <c r="K51" s="1">
        <f t="shared" si="4"/>
        <v>0.54255056087991604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3.0295935359333561</v>
      </c>
      <c r="I52" s="1">
        <f t="shared" si="2"/>
        <v>0.66885058952737075</v>
      </c>
      <c r="J52" s="1">
        <f t="shared" si="3"/>
        <v>3.275910240177732</v>
      </c>
      <c r="K52" s="1">
        <f t="shared" si="4"/>
        <v>0.66885058952737075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2.9352025036026421</v>
      </c>
      <c r="I53" s="1">
        <f t="shared" si="2"/>
        <v>1.8183402077474693</v>
      </c>
      <c r="J53" s="1">
        <f t="shared" si="3"/>
        <v>2.0607778368872451</v>
      </c>
      <c r="K53" s="1">
        <f t="shared" si="4"/>
        <v>1.8183402077474693</v>
      </c>
      <c r="L53" s="1">
        <f t="shared" si="5"/>
        <v>2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2.2067169695425033</v>
      </c>
      <c r="I54" s="1">
        <f t="shared" si="2"/>
        <v>0.88995942479293866</v>
      </c>
      <c r="J54" s="1">
        <f t="shared" si="3"/>
        <v>2.7871328710400154</v>
      </c>
      <c r="K54" s="1">
        <f t="shared" si="4"/>
        <v>0.88995942479293866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1.7391710849530058</v>
      </c>
      <c r="I55" s="1">
        <f t="shared" si="2"/>
        <v>1.71669093833974</v>
      </c>
      <c r="J55" s="1">
        <f t="shared" si="3"/>
        <v>3.0152981086967205</v>
      </c>
      <c r="K55" s="1">
        <f t="shared" si="4"/>
        <v>1.71669093833974</v>
      </c>
      <c r="L55" s="1">
        <f t="shared" si="5"/>
        <v>2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1.7391710849530058</v>
      </c>
      <c r="I56" s="1">
        <f t="shared" si="2"/>
        <v>1.71669093833974</v>
      </c>
      <c r="J56" s="1">
        <f t="shared" si="3"/>
        <v>3.0152981086967205</v>
      </c>
      <c r="K56" s="1">
        <f t="shared" si="4"/>
        <v>1.71669093833974</v>
      </c>
      <c r="L56" s="1">
        <f t="shared" si="5"/>
        <v>2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2.6792605309990245</v>
      </c>
      <c r="I57" s="1">
        <f t="shared" si="2"/>
        <v>1.6419585188968013</v>
      </c>
      <c r="J57" s="1">
        <f t="shared" si="3"/>
        <v>2.3048768875839585</v>
      </c>
      <c r="K57" s="1">
        <f t="shared" si="4"/>
        <v>1.6419585188968013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1.7366955437191127</v>
      </c>
      <c r="I58" s="1">
        <f t="shared" si="2"/>
        <v>1.6715345577575647</v>
      </c>
      <c r="J58" s="1">
        <f t="shared" si="3"/>
        <v>2.5451276703189301</v>
      </c>
      <c r="K58" s="1">
        <f t="shared" si="4"/>
        <v>1.6715345577575647</v>
      </c>
      <c r="L58" s="1">
        <f t="shared" si="5"/>
        <v>2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2.0767975721672709</v>
      </c>
      <c r="I59" s="1">
        <f t="shared" si="2"/>
        <v>1.9424283198557872</v>
      </c>
      <c r="J59" s="1">
        <f t="shared" si="3"/>
        <v>1.8728787622863003</v>
      </c>
      <c r="K59" s="1">
        <f t="shared" si="4"/>
        <v>1.8728787622863003</v>
      </c>
      <c r="L59" s="1">
        <f t="shared" si="5"/>
        <v>3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2.7379452094067478</v>
      </c>
      <c r="I60" s="1">
        <f t="shared" si="2"/>
        <v>1.727723293174511</v>
      </c>
      <c r="J60" s="1">
        <f t="shared" si="3"/>
        <v>2.2896413402362206</v>
      </c>
      <c r="K60" s="1">
        <f t="shared" si="4"/>
        <v>1.727723293174511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1.9135550180025296</v>
      </c>
      <c r="I61" s="1">
        <f t="shared" si="2"/>
        <v>1.8072154762998729</v>
      </c>
      <c r="J61" s="1">
        <f t="shared" si="3"/>
        <v>2.3370970635191899</v>
      </c>
      <c r="K61" s="1">
        <f t="shared" si="4"/>
        <v>1.8072154762998729</v>
      </c>
      <c r="L61" s="1">
        <f t="shared" si="5"/>
        <v>2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2.2081918873987889</v>
      </c>
      <c r="I62" s="1">
        <f t="shared" si="2"/>
        <v>0.95604799972479326</v>
      </c>
      <c r="J62" s="1">
        <f t="shared" si="3"/>
        <v>3.1610848560136304</v>
      </c>
      <c r="K62" s="1">
        <f t="shared" si="4"/>
        <v>0.95604799972479326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2.2081918873987889</v>
      </c>
      <c r="I63" s="1">
        <f t="shared" si="2"/>
        <v>0.95604799972479326</v>
      </c>
      <c r="J63" s="1">
        <f t="shared" si="3"/>
        <v>3.1610848560136304</v>
      </c>
      <c r="K63" s="1">
        <f t="shared" si="4"/>
        <v>0.95604799972479326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2.2188557217402414</v>
      </c>
      <c r="I64" s="1">
        <f t="shared" si="2"/>
        <v>0.87122200257900873</v>
      </c>
      <c r="J64" s="1">
        <f t="shared" si="3"/>
        <v>2.5803313044707572</v>
      </c>
      <c r="K64" s="1">
        <f t="shared" si="4"/>
        <v>0.87122200257900873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2.2188557217402414</v>
      </c>
      <c r="I65" s="1">
        <f t="shared" si="2"/>
        <v>0.87122200257900873</v>
      </c>
      <c r="J65" s="1">
        <f t="shared" si="3"/>
        <v>2.5803313044707572</v>
      </c>
      <c r="K65" s="1">
        <f t="shared" si="4"/>
        <v>0.87122200257900873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2.2062426794011203</v>
      </c>
      <c r="I66" s="1">
        <f t="shared" si="2"/>
        <v>0.87236906053446117</v>
      </c>
      <c r="J66" s="1">
        <f t="shared" si="3"/>
        <v>2.7162675937454615</v>
      </c>
      <c r="K66" s="1">
        <f t="shared" si="4"/>
        <v>0.87236906053446117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1.7526908926168916</v>
      </c>
      <c r="I67" s="1">
        <f t="shared" si="2"/>
        <v>1.6709361979973314</v>
      </c>
      <c r="J67" s="1">
        <f t="shared" si="3"/>
        <v>2.3995155465683204</v>
      </c>
      <c r="K67" s="1">
        <f t="shared" si="4"/>
        <v>1.6709361979973314</v>
      </c>
      <c r="L67" s="1">
        <f t="shared" si="5"/>
        <v>2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2.2067169695425033</v>
      </c>
      <c r="I68" s="1">
        <f t="shared" si="2"/>
        <v>0.88995942479293866</v>
      </c>
      <c r="J68" s="1">
        <f t="shared" si="3"/>
        <v>2.7871328710400154</v>
      </c>
      <c r="K68" s="1">
        <f t="shared" si="4"/>
        <v>0.88995942479293866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2.2067169695425033</v>
      </c>
      <c r="I69" s="1">
        <f t="shared" si="2"/>
        <v>0.88995942479293866</v>
      </c>
      <c r="J69" s="1">
        <f t="shared" si="3"/>
        <v>2.7871328710400154</v>
      </c>
      <c r="K69" s="1">
        <f t="shared" si="4"/>
        <v>0.88995942479293866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1.7391710849530058</v>
      </c>
      <c r="I70" s="1">
        <f t="shared" si="2"/>
        <v>1.71669093833974</v>
      </c>
      <c r="J70" s="1">
        <f t="shared" si="3"/>
        <v>3.0152981086967205</v>
      </c>
      <c r="K70" s="1">
        <f t="shared" si="4"/>
        <v>1.71669093833974</v>
      </c>
      <c r="L70" s="1">
        <f t="shared" si="5"/>
        <v>2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2.2081918873987889</v>
      </c>
      <c r="I71" s="1">
        <f t="shared" si="2"/>
        <v>0.95604799972479326</v>
      </c>
      <c r="J71" s="1">
        <f t="shared" si="3"/>
        <v>3.1610848560136304</v>
      </c>
      <c r="K71" s="1">
        <f t="shared" si="4"/>
        <v>0.95604799972479326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2.2081918873987889</v>
      </c>
      <c r="I72" s="1">
        <f t="shared" si="2"/>
        <v>0.95604799972479326</v>
      </c>
      <c r="J72" s="1">
        <f t="shared" si="3"/>
        <v>3.1610848560136304</v>
      </c>
      <c r="K72" s="1">
        <f t="shared" si="4"/>
        <v>0.95604799972479326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3.0764778664467287</v>
      </c>
      <c r="I73" s="1">
        <f t="shared" si="2"/>
        <v>2.9165095195760591</v>
      </c>
      <c r="J73" s="1">
        <f t="shared" si="3"/>
        <v>0.73237320431387687</v>
      </c>
      <c r="K73" s="1">
        <f t="shared" si="4"/>
        <v>0.73237320431387687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3.3793930606079923</v>
      </c>
      <c r="I74" s="1">
        <f t="shared" si="2"/>
        <v>3.2210289936257599</v>
      </c>
      <c r="J74" s="1">
        <f t="shared" si="3"/>
        <v>0.81364776427519236</v>
      </c>
      <c r="K74" s="1">
        <f t="shared" si="4"/>
        <v>0.81364776427519236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1.7391710849530058</v>
      </c>
      <c r="I75" s="1">
        <f t="shared" ref="I75:I135" si="7">SQRT((($C75-$C$3)^2)+(($D75-$D$3)^2)+(($E75-$E$3)^2)+(($F75-$F$3)^2)+(($G75-$G$3)^2))</f>
        <v>1.71669093833974</v>
      </c>
      <c r="J75" s="1">
        <f t="shared" ref="J75:J135" si="8">SQRT((($C75-$C$4)^2)+(($D75-$D$4)^2)+(($E75-$E$4)^2)+(($F75-$F$4)^2)+(($G75-$G$4)^2))</f>
        <v>3.0152981086967205</v>
      </c>
      <c r="K75" s="1">
        <f t="shared" ref="K75:K135" si="9">MIN(H75:J75)</f>
        <v>1.71669093833974</v>
      </c>
      <c r="L75" s="1">
        <f t="shared" ref="L75:L135" si="10">IF(K75=J75, $J$9, IF(K75=I75, $I$9, IF(K75=H75, $H$9)))</f>
        <v>2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2.2081918873987889</v>
      </c>
      <c r="I76" s="1">
        <f t="shared" si="7"/>
        <v>0.95604799972479326</v>
      </c>
      <c r="J76" s="1">
        <f t="shared" si="8"/>
        <v>3.1610848560136304</v>
      </c>
      <c r="K76" s="1">
        <f t="shared" si="9"/>
        <v>0.95604799972479326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2.2081918873987889</v>
      </c>
      <c r="I77" s="1">
        <f t="shared" si="7"/>
        <v>0.95604799972479326</v>
      </c>
      <c r="J77" s="1">
        <f t="shared" si="8"/>
        <v>3.1610848560136304</v>
      </c>
      <c r="K77" s="1">
        <f t="shared" si="9"/>
        <v>0.95604799972479326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2.6792605309990245</v>
      </c>
      <c r="I78" s="1">
        <f t="shared" si="7"/>
        <v>1.6419585188968013</v>
      </c>
      <c r="J78" s="1">
        <f t="shared" si="8"/>
        <v>2.3048768875839585</v>
      </c>
      <c r="K78" s="1">
        <f t="shared" si="9"/>
        <v>1.6419585188968013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1.7391710849530058</v>
      </c>
      <c r="I79" s="1">
        <f t="shared" si="7"/>
        <v>1.71669093833974</v>
      </c>
      <c r="J79" s="1">
        <f t="shared" si="8"/>
        <v>3.0152981086967205</v>
      </c>
      <c r="K79" s="1">
        <f t="shared" si="9"/>
        <v>1.71669093833974</v>
      </c>
      <c r="L79" s="1">
        <f t="shared" si="10"/>
        <v>2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2.438560339186401</v>
      </c>
      <c r="I80" s="1">
        <f t="shared" si="7"/>
        <v>1.2454026568856267</v>
      </c>
      <c r="J80" s="1">
        <f t="shared" si="8"/>
        <v>2.1396517569061935</v>
      </c>
      <c r="K80" s="1">
        <f t="shared" si="9"/>
        <v>1.2454026568856267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2.4828377926471719</v>
      </c>
      <c r="I81" s="1">
        <f t="shared" si="7"/>
        <v>1.3191011249247639</v>
      </c>
      <c r="J81" s="1">
        <f t="shared" si="8"/>
        <v>2.0995498662407996</v>
      </c>
      <c r="K81" s="1">
        <f t="shared" si="9"/>
        <v>1.3191011249247639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1.7391710849530058</v>
      </c>
      <c r="I82" s="1">
        <f t="shared" si="7"/>
        <v>1.71669093833974</v>
      </c>
      <c r="J82" s="1">
        <f t="shared" si="8"/>
        <v>3.0152981086967205</v>
      </c>
      <c r="K82" s="1">
        <f t="shared" si="9"/>
        <v>1.71669093833974</v>
      </c>
      <c r="L82" s="1">
        <f t="shared" si="10"/>
        <v>2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2.2062426794011203</v>
      </c>
      <c r="I83" s="1">
        <f t="shared" si="7"/>
        <v>0.87236906053446117</v>
      </c>
      <c r="J83" s="1">
        <f t="shared" si="8"/>
        <v>2.7162675937454615</v>
      </c>
      <c r="K83" s="1">
        <f t="shared" si="9"/>
        <v>0.87236906053446117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1.6043022876560626</v>
      </c>
      <c r="I84" s="1">
        <f t="shared" si="7"/>
        <v>1.8386664853758674</v>
      </c>
      <c r="J84" s="1">
        <f t="shared" si="8"/>
        <v>3.3545978942544079</v>
      </c>
      <c r="K84" s="1">
        <f t="shared" si="9"/>
        <v>1.6043022876560626</v>
      </c>
      <c r="L84" s="1">
        <f t="shared" si="10"/>
        <v>1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0.84609624360015268</v>
      </c>
      <c r="I85" s="1">
        <f t="shared" si="7"/>
        <v>2.3003683279954199</v>
      </c>
      <c r="J85" s="1">
        <f t="shared" si="8"/>
        <v>2.851060227957392</v>
      </c>
      <c r="K85" s="1">
        <f t="shared" si="9"/>
        <v>0.84609624360015268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3.6302117008473722</v>
      </c>
      <c r="I86" s="1">
        <f t="shared" si="7"/>
        <v>3.5939803066300247</v>
      </c>
      <c r="J86" s="1">
        <f t="shared" si="8"/>
        <v>1.7818715336889157</v>
      </c>
      <c r="K86" s="1">
        <f t="shared" si="9"/>
        <v>1.7818715336889157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1.1659190475874865</v>
      </c>
      <c r="I87" s="1">
        <f t="shared" si="7"/>
        <v>2.3943045847269397</v>
      </c>
      <c r="J87" s="1">
        <f t="shared" si="8"/>
        <v>2.5928540740904436</v>
      </c>
      <c r="K87" s="1">
        <f t="shared" si="9"/>
        <v>1.1659190475874865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0.84609624360015268</v>
      </c>
      <c r="I88" s="1">
        <f t="shared" si="7"/>
        <v>2.3003683279954199</v>
      </c>
      <c r="J88" s="1">
        <f t="shared" si="8"/>
        <v>2.851060227957392</v>
      </c>
      <c r="K88" s="1">
        <f t="shared" si="9"/>
        <v>0.84609624360015268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0.84485846754262617</v>
      </c>
      <c r="I89" s="1">
        <f t="shared" si="7"/>
        <v>2.2936203793227081</v>
      </c>
      <c r="J89" s="1">
        <f t="shared" si="8"/>
        <v>2.7818239382535439</v>
      </c>
      <c r="K89" s="1">
        <f t="shared" si="9"/>
        <v>0.84485846754262617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3.7895289966201582</v>
      </c>
      <c r="I90" s="1">
        <f t="shared" si="7"/>
        <v>4.2270195699150062</v>
      </c>
      <c r="J90" s="1">
        <f t="shared" si="8"/>
        <v>1.7579202353563246</v>
      </c>
      <c r="K90" s="1">
        <f t="shared" si="9"/>
        <v>1.7579202353563246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0.84993557481803617</v>
      </c>
      <c r="I91" s="1">
        <f t="shared" si="7"/>
        <v>2.3267347172474224</v>
      </c>
      <c r="J91" s="1">
        <f t="shared" si="8"/>
        <v>3.2175910631289697</v>
      </c>
      <c r="K91" s="1">
        <f t="shared" si="9"/>
        <v>0.84993557481803617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0.84609624360015268</v>
      </c>
      <c r="I92" s="1">
        <f t="shared" si="7"/>
        <v>2.3003683279954199</v>
      </c>
      <c r="J92" s="1">
        <f t="shared" si="8"/>
        <v>2.851060227957392</v>
      </c>
      <c r="K92" s="1">
        <f t="shared" si="9"/>
        <v>0.84609624360015268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1.1659190475874865</v>
      </c>
      <c r="I93" s="1">
        <f t="shared" si="7"/>
        <v>2.3943045847269397</v>
      </c>
      <c r="J93" s="1">
        <f t="shared" si="8"/>
        <v>2.5928540740904436</v>
      </c>
      <c r="K93" s="1">
        <f t="shared" si="9"/>
        <v>1.1659190475874865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1.6016183000377104</v>
      </c>
      <c r="I94" s="1">
        <f t="shared" si="7"/>
        <v>1.7965785383457202</v>
      </c>
      <c r="J94" s="1">
        <f t="shared" si="8"/>
        <v>2.9392140456334839</v>
      </c>
      <c r="K94" s="1">
        <f t="shared" si="9"/>
        <v>1.6016183000377104</v>
      </c>
      <c r="L94" s="1">
        <f t="shared" si="10"/>
        <v>1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1.6895905014933694</v>
      </c>
      <c r="I95" s="1">
        <f t="shared" si="7"/>
        <v>1.8364897071436161</v>
      </c>
      <c r="J95" s="1">
        <f t="shared" si="8"/>
        <v>2.6436677563659834</v>
      </c>
      <c r="K95" s="1">
        <f t="shared" si="9"/>
        <v>1.6895905014933694</v>
      </c>
      <c r="L95" s="1">
        <f t="shared" si="10"/>
        <v>1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1.6895905014933694</v>
      </c>
      <c r="I96" s="1">
        <f t="shared" si="7"/>
        <v>1.8364897071436161</v>
      </c>
      <c r="J96" s="1">
        <f t="shared" si="8"/>
        <v>2.6436677563659834</v>
      </c>
      <c r="K96" s="1">
        <f t="shared" si="9"/>
        <v>1.6895905014933694</v>
      </c>
      <c r="L96" s="1">
        <f t="shared" si="10"/>
        <v>1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1.6022715756923043</v>
      </c>
      <c r="I97" s="1">
        <f t="shared" si="7"/>
        <v>1.8051854321494081</v>
      </c>
      <c r="J97" s="1">
        <f t="shared" si="8"/>
        <v>3.0048259859847377</v>
      </c>
      <c r="K97" s="1">
        <f t="shared" si="9"/>
        <v>1.6022715756923043</v>
      </c>
      <c r="L97" s="1">
        <f t="shared" si="10"/>
        <v>1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1.6016183000377104</v>
      </c>
      <c r="I98" s="1">
        <f t="shared" si="7"/>
        <v>1.7965785383457202</v>
      </c>
      <c r="J98" s="1">
        <f t="shared" si="8"/>
        <v>2.9392140456334839</v>
      </c>
      <c r="K98" s="1">
        <f t="shared" si="9"/>
        <v>1.6016183000377104</v>
      </c>
      <c r="L98" s="1">
        <f t="shared" si="10"/>
        <v>1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4.3757864162240629</v>
      </c>
      <c r="I99" s="1">
        <f t="shared" si="7"/>
        <v>4.3224639321160856</v>
      </c>
      <c r="J99" s="1">
        <f t="shared" si="8"/>
        <v>2.2575142326011979</v>
      </c>
      <c r="K99" s="1">
        <f t="shared" si="9"/>
        <v>2.2575142326011979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4.7896758901311944</v>
      </c>
      <c r="I100" s="1">
        <f t="shared" si="7"/>
        <v>4.7288153320302593</v>
      </c>
      <c r="J100" s="1">
        <f t="shared" si="8"/>
        <v>2.5830258775920183</v>
      </c>
      <c r="K100" s="1">
        <f t="shared" si="9"/>
        <v>2.5830258775920183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0.84609624360015268</v>
      </c>
      <c r="I101" s="1">
        <f t="shared" si="7"/>
        <v>2.3003683279954199</v>
      </c>
      <c r="J101" s="1">
        <f t="shared" si="8"/>
        <v>2.851060227957392</v>
      </c>
      <c r="K101" s="1">
        <f t="shared" si="9"/>
        <v>0.84609624360015268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0.84993557481803617</v>
      </c>
      <c r="I102" s="1">
        <f t="shared" si="7"/>
        <v>2.3267347172474224</v>
      </c>
      <c r="J102" s="1">
        <f t="shared" si="8"/>
        <v>3.2175910631289697</v>
      </c>
      <c r="K102" s="1">
        <f t="shared" si="9"/>
        <v>0.84993557481803617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4.8908856635955535</v>
      </c>
      <c r="I103" s="1">
        <f t="shared" si="7"/>
        <v>5.2109206906692069</v>
      </c>
      <c r="J103" s="1">
        <f t="shared" si="8"/>
        <v>2.6708289035683483</v>
      </c>
      <c r="K103" s="1">
        <f t="shared" si="9"/>
        <v>2.6708289035683483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1.6016183000377104</v>
      </c>
      <c r="I104" s="1">
        <f t="shared" si="7"/>
        <v>1.7965785383457202</v>
      </c>
      <c r="J104" s="1">
        <f t="shared" si="8"/>
        <v>2.9392140456334839</v>
      </c>
      <c r="K104" s="1">
        <f t="shared" si="9"/>
        <v>1.6016183000377104</v>
      </c>
      <c r="L104" s="1">
        <f t="shared" si="10"/>
        <v>1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2.9988478047009766</v>
      </c>
      <c r="I105" s="1">
        <f t="shared" si="7"/>
        <v>4.1866885615138738</v>
      </c>
      <c r="J105" s="1">
        <f t="shared" si="8"/>
        <v>3.1263016192851261</v>
      </c>
      <c r="K105" s="1">
        <f t="shared" si="9"/>
        <v>2.9988478047009766</v>
      </c>
      <c r="L105" s="1">
        <f t="shared" si="10"/>
        <v>1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5.5264118278177197</v>
      </c>
      <c r="I106" s="1">
        <f t="shared" si="7"/>
        <v>5.8748924340034607</v>
      </c>
      <c r="J106" s="1">
        <f t="shared" si="8"/>
        <v>3.7094856185022791</v>
      </c>
      <c r="K106" s="1">
        <f t="shared" si="9"/>
        <v>3.7094856185022791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3.2934494205911866</v>
      </c>
      <c r="I107" s="1">
        <f t="shared" si="7"/>
        <v>4.3926485303414733</v>
      </c>
      <c r="J107" s="1">
        <f t="shared" si="8"/>
        <v>3.2347738429053741</v>
      </c>
      <c r="K107" s="1">
        <f t="shared" si="9"/>
        <v>3.2347738429053741</v>
      </c>
      <c r="L107" s="1">
        <f t="shared" si="10"/>
        <v>3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5.910933485278596</v>
      </c>
      <c r="I108" s="1">
        <f t="shared" si="7"/>
        <v>6.5286569147958078</v>
      </c>
      <c r="J108" s="1">
        <f t="shared" si="8"/>
        <v>4.0144116561682592</v>
      </c>
      <c r="K108" s="1">
        <f t="shared" si="9"/>
        <v>4.0144116561682592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0.64812413930196755</v>
      </c>
      <c r="I109" s="1">
        <f t="shared" si="7"/>
        <v>3.1433041709499117</v>
      </c>
      <c r="J109" s="1">
        <f t="shared" si="8"/>
        <v>3.6896831591269197</v>
      </c>
      <c r="K109" s="1">
        <f t="shared" si="9"/>
        <v>0.64812413930196755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6.4394185616073925</v>
      </c>
      <c r="I110" s="1">
        <f t="shared" si="7"/>
        <v>6.7215594255433837</v>
      </c>
      <c r="J110" s="1">
        <f t="shared" si="8"/>
        <v>4.4566341449238704</v>
      </c>
      <c r="K110" s="1">
        <f t="shared" si="9"/>
        <v>4.4566341449238704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4.3632524424665249</v>
      </c>
      <c r="I111" s="1">
        <f t="shared" si="7"/>
        <v>5.1971493254582466</v>
      </c>
      <c r="J111" s="1">
        <f t="shared" si="8"/>
        <v>2.9023717568128311</v>
      </c>
      <c r="K111" s="1">
        <f t="shared" si="9"/>
        <v>2.9023717568128311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0.64145167299113459</v>
      </c>
      <c r="I112" s="1">
        <f t="shared" si="7"/>
        <v>3.1188717689432361</v>
      </c>
      <c r="J112" s="1">
        <f t="shared" si="8"/>
        <v>3.3165364446449024</v>
      </c>
      <c r="K112" s="1">
        <f t="shared" si="9"/>
        <v>0.64145167299113459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1.5071364400024063</v>
      </c>
      <c r="I113" s="1">
        <f t="shared" si="7"/>
        <v>2.8013141757237996</v>
      </c>
      <c r="J113" s="1">
        <f t="shared" si="8"/>
        <v>3.8097502014375562</v>
      </c>
      <c r="K113" s="1">
        <f t="shared" si="9"/>
        <v>1.5071364400024063</v>
      </c>
      <c r="L113" s="1">
        <f t="shared" si="10"/>
        <v>1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1.5071364400024063</v>
      </c>
      <c r="I114" s="1">
        <f t="shared" si="7"/>
        <v>2.8013141757237996</v>
      </c>
      <c r="J114" s="1">
        <f t="shared" si="8"/>
        <v>3.8097502014375562</v>
      </c>
      <c r="K114" s="1">
        <f t="shared" si="9"/>
        <v>1.5071364400024063</v>
      </c>
      <c r="L114" s="1">
        <f t="shared" si="10"/>
        <v>1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1.5227178172953479</v>
      </c>
      <c r="I115" s="1">
        <f t="shared" si="7"/>
        <v>2.7735106113211665</v>
      </c>
      <c r="J115" s="1">
        <f t="shared" si="8"/>
        <v>3.3436280850696511</v>
      </c>
      <c r="K115" s="1">
        <f t="shared" si="9"/>
        <v>1.5227178172953479</v>
      </c>
      <c r="L115" s="1">
        <f t="shared" si="10"/>
        <v>1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1.5049746246618745</v>
      </c>
      <c r="I116" s="1">
        <f t="shared" si="7"/>
        <v>2.7794533835110657</v>
      </c>
      <c r="J116" s="1">
        <f t="shared" si="8"/>
        <v>3.5056880596063507</v>
      </c>
      <c r="K116" s="1">
        <f t="shared" si="9"/>
        <v>1.5049746246618745</v>
      </c>
      <c r="L116" s="1">
        <f t="shared" si="10"/>
        <v>1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1.5071364400024063</v>
      </c>
      <c r="I117" s="1">
        <f t="shared" si="7"/>
        <v>2.8013141757237996</v>
      </c>
      <c r="J117" s="1">
        <f t="shared" si="8"/>
        <v>3.8097502014375562</v>
      </c>
      <c r="K117" s="1">
        <f t="shared" si="9"/>
        <v>1.5071364400024063</v>
      </c>
      <c r="L117" s="1">
        <f t="shared" si="10"/>
        <v>1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1.5071364400024063</v>
      </c>
      <c r="I118" s="1">
        <f t="shared" si="7"/>
        <v>2.8013141757237996</v>
      </c>
      <c r="J118" s="1">
        <f t="shared" si="8"/>
        <v>3.8097502014375562</v>
      </c>
      <c r="K118" s="1">
        <f t="shared" si="9"/>
        <v>1.5071364400024063</v>
      </c>
      <c r="L118" s="1">
        <f t="shared" si="10"/>
        <v>1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0.64812413930196755</v>
      </c>
      <c r="I119" s="1">
        <f t="shared" si="7"/>
        <v>3.1433041709499117</v>
      </c>
      <c r="J119" s="1">
        <f t="shared" si="8"/>
        <v>3.6896831591269197</v>
      </c>
      <c r="K119" s="1">
        <f t="shared" si="9"/>
        <v>0.64812413930196755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0.64812413930196755</v>
      </c>
      <c r="I120" s="1">
        <f t="shared" si="7"/>
        <v>3.1433041709499117</v>
      </c>
      <c r="J120" s="1">
        <f t="shared" si="8"/>
        <v>3.6896831591269197</v>
      </c>
      <c r="K120" s="1">
        <f t="shared" si="9"/>
        <v>0.64812413930196755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1.5049746246618745</v>
      </c>
      <c r="I121" s="1">
        <f t="shared" si="7"/>
        <v>2.7794533835110657</v>
      </c>
      <c r="J121" s="1">
        <f t="shared" si="8"/>
        <v>3.5056880596063507</v>
      </c>
      <c r="K121" s="1">
        <f t="shared" si="9"/>
        <v>1.5049746246618745</v>
      </c>
      <c r="L121" s="1">
        <f t="shared" si="10"/>
        <v>1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1.5071364400024063</v>
      </c>
      <c r="I122" s="1">
        <f t="shared" si="7"/>
        <v>2.8013141757237996</v>
      </c>
      <c r="J122" s="1">
        <f t="shared" si="8"/>
        <v>3.8097502014375562</v>
      </c>
      <c r="K122" s="1">
        <f t="shared" si="9"/>
        <v>1.5071364400024063</v>
      </c>
      <c r="L122" s="1">
        <f t="shared" si="10"/>
        <v>1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0.64812413930196755</v>
      </c>
      <c r="I123" s="1">
        <f t="shared" si="7"/>
        <v>3.1433041709499117</v>
      </c>
      <c r="J123" s="1">
        <f t="shared" si="8"/>
        <v>3.6896831591269197</v>
      </c>
      <c r="K123" s="1">
        <f t="shared" si="9"/>
        <v>0.64812413930196755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0.64812413930196755</v>
      </c>
      <c r="I124" s="1">
        <f t="shared" si="7"/>
        <v>3.1433041709499117</v>
      </c>
      <c r="J124" s="1">
        <f t="shared" si="8"/>
        <v>3.6896831591269197</v>
      </c>
      <c r="K124" s="1">
        <f t="shared" si="9"/>
        <v>0.64812413930196755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0.64812413930196755</v>
      </c>
      <c r="I125" s="1">
        <f t="shared" si="7"/>
        <v>3.1433041709499117</v>
      </c>
      <c r="J125" s="1">
        <f t="shared" si="8"/>
        <v>3.6896831591269197</v>
      </c>
      <c r="K125" s="1">
        <f t="shared" si="9"/>
        <v>0.64812413930196755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1.4552454495893696</v>
      </c>
      <c r="I126" s="1">
        <f t="shared" si="7"/>
        <v>4.0431457774581636</v>
      </c>
      <c r="J126" s="1">
        <f t="shared" si="8"/>
        <v>4.3444943756393792</v>
      </c>
      <c r="K126" s="1">
        <f t="shared" si="9"/>
        <v>1.4552454495893696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1.9922687236885934</v>
      </c>
      <c r="I127" s="1">
        <f t="shared" si="7"/>
        <v>3.7833883990118937</v>
      </c>
      <c r="J127" s="1">
        <f t="shared" si="8"/>
        <v>4.4469164780295669</v>
      </c>
      <c r="K127" s="1">
        <f t="shared" si="9"/>
        <v>1.9922687236885934</v>
      </c>
      <c r="L127" s="1">
        <f t="shared" si="10"/>
        <v>1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1.4522860143194165</v>
      </c>
      <c r="I128" s="1">
        <f t="shared" si="7"/>
        <v>4.0241803858398022</v>
      </c>
      <c r="J128" s="1">
        <f t="shared" si="8"/>
        <v>4.0324041902908538</v>
      </c>
      <c r="K128" s="1">
        <f t="shared" si="9"/>
        <v>1.4522860143194165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1.9901080413447372</v>
      </c>
      <c r="I129" s="1">
        <f t="shared" si="7"/>
        <v>3.7631141063988185</v>
      </c>
      <c r="J129" s="1">
        <f t="shared" si="8"/>
        <v>4.1425497385648775</v>
      </c>
      <c r="K129" s="1">
        <f t="shared" si="9"/>
        <v>1.9901080413447372</v>
      </c>
      <c r="L129" s="1">
        <f t="shared" si="10"/>
        <v>1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1.4522860143194165</v>
      </c>
      <c r="I130" s="1">
        <f t="shared" si="7"/>
        <v>4.0241803858398022</v>
      </c>
      <c r="J130" s="1">
        <f t="shared" si="8"/>
        <v>4.0324041902908538</v>
      </c>
      <c r="K130" s="1">
        <f t="shared" si="9"/>
        <v>1.4522860143194165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4.3177911846104138</v>
      </c>
      <c r="I131" s="1">
        <f t="shared" si="7"/>
        <v>5.2728576481617422</v>
      </c>
      <c r="J131" s="1">
        <f t="shared" si="8"/>
        <v>4.3063982819254987</v>
      </c>
      <c r="K131" s="1">
        <f t="shared" si="9"/>
        <v>4.3063982819254987</v>
      </c>
      <c r="L131" s="1">
        <f t="shared" si="10"/>
        <v>3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1.9922687236885934</v>
      </c>
      <c r="I132" s="1">
        <f t="shared" si="7"/>
        <v>3.7833883990118937</v>
      </c>
      <c r="J132" s="1">
        <f t="shared" si="8"/>
        <v>4.4469164780295669</v>
      </c>
      <c r="K132" s="1">
        <f t="shared" si="9"/>
        <v>1.9922687236885934</v>
      </c>
      <c r="L132" s="1">
        <f t="shared" si="10"/>
        <v>1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1.4552454495893696</v>
      </c>
      <c r="I133" s="1">
        <f t="shared" si="7"/>
        <v>4.0431457774581636</v>
      </c>
      <c r="J133" s="1">
        <f t="shared" si="8"/>
        <v>4.3444943756393792</v>
      </c>
      <c r="K133" s="1">
        <f t="shared" si="9"/>
        <v>1.4552454495893696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1.4552454495893696</v>
      </c>
      <c r="I134" s="1">
        <f t="shared" si="7"/>
        <v>4.0431457774581636</v>
      </c>
      <c r="J134" s="1">
        <f t="shared" si="8"/>
        <v>4.3444943756393792</v>
      </c>
      <c r="K134" s="1">
        <f t="shared" si="9"/>
        <v>1.4552454495893696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1.4552454495893696</v>
      </c>
      <c r="I135" s="1">
        <f t="shared" si="7"/>
        <v>4.0431457774581636</v>
      </c>
      <c r="J135" s="1">
        <f t="shared" si="8"/>
        <v>4.3444943756393792</v>
      </c>
      <c r="K135" s="1">
        <f t="shared" si="9"/>
        <v>1.4552454495893696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04F1-2B39-D346-BAF5-4D717DB2BCBB}">
  <dimension ref="A1:L135"/>
  <sheetViews>
    <sheetView workbookViewId="0">
      <selection sqref="A1:L135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5'!$L$10:$L$135,$A$2,'iterasi 5'!C$10:C$135)/$B$2</f>
        <v>0</v>
      </c>
      <c r="D2" s="3">
        <f>SUMIF('iterasi 5'!$L$10:$L$135,$A$2,'iterasi 5'!D$10:D$135)/$B$2</f>
        <v>-0.30930232558139531</v>
      </c>
      <c r="E2" s="3">
        <f>SUMIF('iterasi 5'!$L$10:$L$135,$A$2,'iterasi 5'!E$10:E$135)/$B$2</f>
        <v>-0.40465116279069757</v>
      </c>
      <c r="F2" s="3">
        <f>SUMIF('iterasi 5'!$L$10:$L$135,$A$2,'iterasi 5'!F$10:F$135)/$B$2</f>
        <v>-0.1581395348837209</v>
      </c>
      <c r="G2" s="3">
        <f>SUMIF('iterasi 5'!$L$10:$L$135,$A$2,'iterasi 5'!G$10:G$135)/$B$2</f>
        <v>4.6046511627906979</v>
      </c>
      <c r="H2" s="1"/>
      <c r="I2" s="1"/>
      <c r="J2" s="1"/>
      <c r="K2" s="1">
        <v>1</v>
      </c>
      <c r="L2" s="1">
        <f>COUNTIF($L$10:$L$135,A2)</f>
        <v>43</v>
      </c>
    </row>
    <row r="3" spans="1:12">
      <c r="A3" s="13">
        <v>2</v>
      </c>
      <c r="B3" s="9">
        <f>'iterasi 1'!L3</f>
        <v>60</v>
      </c>
      <c r="C3" s="3">
        <f>SUMIF('iterasi 5'!$L$10:$L$135,$A$3,'iterasi 5'!C$10:C$135)/$B$3</f>
        <v>0</v>
      </c>
      <c r="D3" s="3">
        <f>SUMIF('iterasi 5'!$L$10:$L$135,$A$3,'iterasi 5'!D$10:D$135)/$B$3</f>
        <v>-0.33833333333333326</v>
      </c>
      <c r="E3" s="3">
        <f>SUMIF('iterasi 5'!$L$10:$L$135,$A$3,'iterasi 5'!E$10:E$135)/$B$3</f>
        <v>-0.29166666666666641</v>
      </c>
      <c r="F3" s="3">
        <f>SUMIF('iterasi 5'!$L$10:$L$135,$A$3,'iterasi 5'!F$10:F$135)/$B$3</f>
        <v>0.16333333333333339</v>
      </c>
      <c r="G3" s="3">
        <f>SUMIF('iterasi 5'!$L$10:$L$135,$A$3,'iterasi 5'!G$10:G$135)/$B$3</f>
        <v>2.3666666666666667</v>
      </c>
      <c r="H3" s="1"/>
      <c r="I3" s="1"/>
      <c r="J3" s="1"/>
      <c r="K3" s="1">
        <v>2</v>
      </c>
      <c r="L3" s="1">
        <f t="shared" ref="L3:L4" si="0">COUNTIF($L$10:$L$135,A3)</f>
        <v>71</v>
      </c>
    </row>
    <row r="4" spans="1:12">
      <c r="A4" s="13">
        <v>3</v>
      </c>
      <c r="B4" s="9">
        <f>'iterasi 1'!L4</f>
        <v>23</v>
      </c>
      <c r="C4" s="3">
        <f>SUMIF('iterasi 5'!$L$10:$L$135,$A$4,'iterasi 5'!C$10:C$135)/$B$4</f>
        <v>0</v>
      </c>
      <c r="D4" s="3">
        <f>SUMIF('iterasi 5'!$L$10:$L$135,$A$4,'iterasi 5'!D$10:D$135)/$B$4</f>
        <v>1.4130434782608696</v>
      </c>
      <c r="E4" s="3">
        <f>SUMIF('iterasi 5'!$L$10:$L$135,$A$4,'iterasi 5'!E$10:E$135)/$B$4</f>
        <v>1.4260869565217393</v>
      </c>
      <c r="F4" s="3">
        <f>SUMIF('iterasi 5'!$L$10:$L$135,$A$4,'iterasi 5'!F$10:F$135)/$B$4</f>
        <v>-0.15652173913043479</v>
      </c>
      <c r="G4" s="3">
        <f>SUMIF('iterasi 5'!$L$10:$L$135,$A$4,'iterasi 5'!G$10:G$135)/$B$4</f>
        <v>2.6956521739130435</v>
      </c>
      <c r="H4" s="1"/>
      <c r="I4" s="1"/>
      <c r="J4" s="1"/>
      <c r="K4" s="1">
        <v>3</v>
      </c>
      <c r="L4" s="1">
        <f t="shared" si="0"/>
        <v>12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3.7183108512876757</v>
      </c>
      <c r="I10" s="1">
        <f>SQRT((($C10-$C$3)^2)+(($D10-$D$3)^2)+(($E10-$E$3)^2)+(($F10-$F$3)^2)+(($G10-$G$3)^2))</f>
        <v>1.8476997711869871</v>
      </c>
      <c r="J10" s="1">
        <f>SQRT((($C10-$C$4)^2)+(($D10-$D$4)^2)+(($E10-$E$4)^2)+(($F10-$F$4)^2)+(($G10-$G$4)^2))</f>
        <v>3.4302584403895713</v>
      </c>
      <c r="K10" s="1">
        <f>MIN(H10:J10)</f>
        <v>1.8476997711869871</v>
      </c>
      <c r="L10" s="1">
        <f>IF(K10=J10, $J$9, IF(K10=I10, $I$9, IF(K10=H10, $H$9)))</f>
        <v>2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3.7637837537434606</v>
      </c>
      <c r="I11" s="1">
        <f t="shared" ref="I11:I74" si="2">SQRT((($C11-$C$3)^2)+(($D11-$D$3)^2)+(($E11-$E$3)^2)+(($F11-$F$3)^2)+(($G11-$G$3)^2))</f>
        <v>1.5845065828550891</v>
      </c>
      <c r="J11" s="1">
        <f t="shared" ref="J11:J74" si="3">SQRT((($C11-$C$4)^2)+(($D11-$D$4)^2)+(($E11-$E$4)^2)+(($F11-$F$4)^2)+(($G11-$G$4)^2))</f>
        <v>3.1607888273882132</v>
      </c>
      <c r="K11" s="1">
        <f t="shared" ref="K11:K74" si="4">MIN(H11:J11)</f>
        <v>1.5845065828550891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3.7731639004106117</v>
      </c>
      <c r="I12" s="1">
        <f t="shared" si="2"/>
        <v>1.6134831197684647</v>
      </c>
      <c r="J12" s="1">
        <f t="shared" si="3"/>
        <v>3.4887613241033768</v>
      </c>
      <c r="K12" s="1">
        <f t="shared" si="4"/>
        <v>1.6134831197684647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3.7637837537434606</v>
      </c>
      <c r="I13" s="1">
        <f t="shared" si="2"/>
        <v>1.5845065828550891</v>
      </c>
      <c r="J13" s="1">
        <f t="shared" si="3"/>
        <v>3.1607888273882132</v>
      </c>
      <c r="K13" s="1">
        <f t="shared" si="4"/>
        <v>1.5845065828550891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3.7731639004106117</v>
      </c>
      <c r="I14" s="1">
        <f t="shared" si="2"/>
        <v>1.6134831197684647</v>
      </c>
      <c r="J14" s="1">
        <f t="shared" si="3"/>
        <v>3.4887613241033768</v>
      </c>
      <c r="K14" s="1">
        <f t="shared" si="4"/>
        <v>1.6134831197684647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3.7075690344136838</v>
      </c>
      <c r="I15" s="1">
        <f t="shared" si="2"/>
        <v>1.8137422945697415</v>
      </c>
      <c r="J15" s="1">
        <f t="shared" si="3"/>
        <v>3.0348947282141689</v>
      </c>
      <c r="K15" s="1">
        <f t="shared" si="4"/>
        <v>1.8137422945697415</v>
      </c>
      <c r="L15" s="1">
        <f t="shared" si="5"/>
        <v>2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3.7075690344136838</v>
      </c>
      <c r="I16" s="1">
        <f t="shared" si="2"/>
        <v>1.8137422945697415</v>
      </c>
      <c r="J16" s="1">
        <f t="shared" si="3"/>
        <v>3.0348947282141689</v>
      </c>
      <c r="K16" s="1">
        <f t="shared" si="4"/>
        <v>1.8137422945697415</v>
      </c>
      <c r="L16" s="1">
        <f t="shared" si="5"/>
        <v>2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3.7731639004106117</v>
      </c>
      <c r="I17" s="1">
        <f t="shared" si="2"/>
        <v>1.6134831197684647</v>
      </c>
      <c r="J17" s="1">
        <f t="shared" si="3"/>
        <v>3.4887613241033768</v>
      </c>
      <c r="K17" s="1">
        <f t="shared" si="4"/>
        <v>1.6134831197684647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3.7731639004106117</v>
      </c>
      <c r="I18" s="1">
        <f>SQRT((($C18-$C$3)^2)+(($D18-$D$3)^2)+(($E18-$E$3)^2)+(($F18-$F$3)^2)+(($G18-$G$3)^2))</f>
        <v>1.6134831197684647</v>
      </c>
      <c r="J18" s="1">
        <f t="shared" si="3"/>
        <v>3.4887613241033768</v>
      </c>
      <c r="K18" s="1">
        <f t="shared" si="4"/>
        <v>1.6134831197684647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3.7087919748059575</v>
      </c>
      <c r="I19" s="1">
        <f t="shared" si="2"/>
        <v>1.8224510357696246</v>
      </c>
      <c r="J19" s="1">
        <f t="shared" si="3"/>
        <v>3.0960948633151575</v>
      </c>
      <c r="K19" s="1">
        <f t="shared" si="4"/>
        <v>1.8224510357696246</v>
      </c>
      <c r="L19" s="1">
        <f t="shared" si="5"/>
        <v>2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3.7132100142679101</v>
      </c>
      <c r="I20" s="1">
        <f t="shared" si="2"/>
        <v>1.812823151269251</v>
      </c>
      <c r="J20" s="1">
        <f t="shared" si="3"/>
        <v>2.9189298088055255</v>
      </c>
      <c r="K20" s="1">
        <f t="shared" si="4"/>
        <v>1.812823151269251</v>
      </c>
      <c r="L20" s="1">
        <f t="shared" si="5"/>
        <v>2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3.7087919748059575</v>
      </c>
      <c r="I21" s="1">
        <f t="shared" si="2"/>
        <v>1.8224510357696246</v>
      </c>
      <c r="J21" s="1">
        <f t="shared" si="3"/>
        <v>3.0960948633151575</v>
      </c>
      <c r="K21" s="1">
        <f t="shared" si="4"/>
        <v>1.8224510357696246</v>
      </c>
      <c r="L21" s="1">
        <f t="shared" si="5"/>
        <v>2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3.8272916230931537</v>
      </c>
      <c r="I22" s="1">
        <f t="shared" si="2"/>
        <v>1.7038176089137136</v>
      </c>
      <c r="J22" s="1">
        <f t="shared" si="3"/>
        <v>2.6951928079845646</v>
      </c>
      <c r="K22" s="1">
        <f t="shared" si="4"/>
        <v>1.7038176089137136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3.741753507078454</v>
      </c>
      <c r="I23" s="1">
        <f t="shared" si="2"/>
        <v>1.8523843493664531</v>
      </c>
      <c r="J23" s="1">
        <f t="shared" si="3"/>
        <v>2.7630597269730557</v>
      </c>
      <c r="K23" s="1">
        <f t="shared" si="4"/>
        <v>1.8523843493664531</v>
      </c>
      <c r="L23" s="1">
        <f t="shared" si="5"/>
        <v>2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3.7183108512876757</v>
      </c>
      <c r="I24" s="1">
        <f t="shared" si="2"/>
        <v>1.8476997711869871</v>
      </c>
      <c r="J24" s="1">
        <f t="shared" si="3"/>
        <v>3.4302584403895713</v>
      </c>
      <c r="K24" s="1">
        <f t="shared" si="4"/>
        <v>1.8476997711869871</v>
      </c>
      <c r="L24" s="1">
        <f t="shared" si="5"/>
        <v>2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3.7637837537434606</v>
      </c>
      <c r="I25" s="1">
        <f t="shared" si="2"/>
        <v>1.5845065828550891</v>
      </c>
      <c r="J25" s="1">
        <f t="shared" si="3"/>
        <v>3.1607888273882132</v>
      </c>
      <c r="K25" s="1">
        <f t="shared" si="4"/>
        <v>1.5845065828550891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3.7731639004106117</v>
      </c>
      <c r="I26" s="1">
        <f t="shared" si="2"/>
        <v>1.6134831197684647</v>
      </c>
      <c r="J26" s="1">
        <f t="shared" si="3"/>
        <v>3.4887613241033768</v>
      </c>
      <c r="K26" s="1">
        <f t="shared" si="4"/>
        <v>1.6134831197684647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3.7183108512876757</v>
      </c>
      <c r="I27" s="1">
        <f t="shared" si="2"/>
        <v>1.8476997711869871</v>
      </c>
      <c r="J27" s="1">
        <f t="shared" si="3"/>
        <v>3.4302584403895713</v>
      </c>
      <c r="K27" s="1">
        <f t="shared" si="4"/>
        <v>1.8476997711869871</v>
      </c>
      <c r="L27" s="1">
        <f t="shared" si="5"/>
        <v>2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3.7183108512876757</v>
      </c>
      <c r="I28" s="1">
        <f t="shared" si="2"/>
        <v>1.8476997711869871</v>
      </c>
      <c r="J28" s="1">
        <f t="shared" si="3"/>
        <v>3.4302584403895713</v>
      </c>
      <c r="K28" s="1">
        <f t="shared" si="4"/>
        <v>1.8476997711869871</v>
      </c>
      <c r="L28" s="1">
        <f t="shared" si="5"/>
        <v>2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3.7731639004106117</v>
      </c>
      <c r="I29" s="1">
        <f t="shared" si="2"/>
        <v>1.6134831197684647</v>
      </c>
      <c r="J29" s="1">
        <f t="shared" si="3"/>
        <v>3.4887613241033768</v>
      </c>
      <c r="K29" s="1">
        <f t="shared" si="4"/>
        <v>1.6134831197684647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3.8762872737536034</v>
      </c>
      <c r="I30" s="1">
        <f t="shared" si="2"/>
        <v>2.1098959953303646</v>
      </c>
      <c r="J30" s="1">
        <f t="shared" si="3"/>
        <v>2.3485747598589457</v>
      </c>
      <c r="K30" s="1">
        <f t="shared" si="4"/>
        <v>2.1098959953303646</v>
      </c>
      <c r="L30" s="1">
        <f t="shared" si="5"/>
        <v>2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3.7731639004106117</v>
      </c>
      <c r="I31" s="1">
        <f t="shared" si="2"/>
        <v>1.6134831197684647</v>
      </c>
      <c r="J31" s="1">
        <f t="shared" si="3"/>
        <v>3.4887613241033768</v>
      </c>
      <c r="K31" s="1">
        <f t="shared" si="4"/>
        <v>1.6134831197684647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3.7731639004106117</v>
      </c>
      <c r="I32" s="1">
        <f t="shared" si="2"/>
        <v>1.6134831197684647</v>
      </c>
      <c r="J32" s="1">
        <f t="shared" si="3"/>
        <v>3.4887613241033768</v>
      </c>
      <c r="K32" s="1">
        <f t="shared" si="4"/>
        <v>1.6134831197684647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3.7087919748059575</v>
      </c>
      <c r="I33" s="1">
        <f t="shared" si="2"/>
        <v>1.8224510357696246</v>
      </c>
      <c r="J33" s="1">
        <f t="shared" si="3"/>
        <v>3.0960948633151575</v>
      </c>
      <c r="K33" s="1">
        <f t="shared" si="4"/>
        <v>1.8224510357696246</v>
      </c>
      <c r="L33" s="1">
        <f t="shared" si="5"/>
        <v>2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3.8466866752442099</v>
      </c>
      <c r="I34" s="1">
        <f t="shared" si="2"/>
        <v>1.7073354809305767</v>
      </c>
      <c r="J34" s="1">
        <f t="shared" si="3"/>
        <v>2.9502651189701106</v>
      </c>
      <c r="K34" s="1">
        <f t="shared" si="4"/>
        <v>1.7073354809305767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2.9304771031215986</v>
      </c>
      <c r="I35" s="1">
        <f t="shared" si="2"/>
        <v>1.0870423685906223</v>
      </c>
      <c r="J35" s="1">
        <f t="shared" si="3"/>
        <v>2.5125206316338251</v>
      </c>
      <c r="K35" s="1">
        <f t="shared" si="4"/>
        <v>1.0870423685906223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2.9928244815727756</v>
      </c>
      <c r="I36" s="1">
        <f t="shared" si="2"/>
        <v>1.2365251491354488</v>
      </c>
      <c r="J36" s="1">
        <f t="shared" si="3"/>
        <v>2.1381979232915374</v>
      </c>
      <c r="K36" s="1">
        <f t="shared" si="4"/>
        <v>1.2365251491354488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2.7598067434554694</v>
      </c>
      <c r="I37" s="1">
        <f t="shared" si="2"/>
        <v>1.2964031437446883</v>
      </c>
      <c r="J37" s="1">
        <f t="shared" si="3"/>
        <v>3.0619223732873775</v>
      </c>
      <c r="K37" s="1">
        <f t="shared" si="4"/>
        <v>1.2964031437446883</v>
      </c>
      <c r="L37" s="1">
        <f t="shared" si="5"/>
        <v>2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2.9304771031215986</v>
      </c>
      <c r="I38" s="1">
        <f t="shared" si="2"/>
        <v>1.0870423685906223</v>
      </c>
      <c r="J38" s="1">
        <f t="shared" si="3"/>
        <v>2.5125206316338251</v>
      </c>
      <c r="K38" s="1">
        <f t="shared" si="4"/>
        <v>1.0870423685906223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2.7913109791194022</v>
      </c>
      <c r="I39" s="1">
        <f t="shared" si="2"/>
        <v>1.3030711586265902</v>
      </c>
      <c r="J39" s="1">
        <f t="shared" si="3"/>
        <v>2.289802329240306</v>
      </c>
      <c r="K39" s="1">
        <f t="shared" si="4"/>
        <v>1.3030711586265902</v>
      </c>
      <c r="L39" s="1">
        <f t="shared" si="5"/>
        <v>2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2.8191658432805897</v>
      </c>
      <c r="I40" s="1">
        <f t="shared" si="2"/>
        <v>0.86351671154130605</v>
      </c>
      <c r="J40" s="1">
        <f t="shared" si="3"/>
        <v>2.6877619448551839</v>
      </c>
      <c r="K40" s="1">
        <f t="shared" si="4"/>
        <v>0.86351671154130605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2.9304771031215986</v>
      </c>
      <c r="I41" s="1">
        <f t="shared" si="2"/>
        <v>1.0870423685906223</v>
      </c>
      <c r="J41" s="1">
        <f t="shared" si="3"/>
        <v>2.5125206316338251</v>
      </c>
      <c r="K41" s="1">
        <f t="shared" si="4"/>
        <v>1.0870423685906223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2.9304771031215986</v>
      </c>
      <c r="I42" s="1">
        <f t="shared" si="2"/>
        <v>1.0870423685906223</v>
      </c>
      <c r="J42" s="1">
        <f t="shared" si="3"/>
        <v>2.5125206316338251</v>
      </c>
      <c r="K42" s="1">
        <f t="shared" si="4"/>
        <v>1.0870423685906223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2.8207739752347791</v>
      </c>
      <c r="I43" s="1">
        <f t="shared" si="2"/>
        <v>0.88166194075608018</v>
      </c>
      <c r="J43" s="1">
        <f t="shared" si="3"/>
        <v>2.7566794633246841</v>
      </c>
      <c r="K43" s="1">
        <f t="shared" si="4"/>
        <v>0.88166194075608018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2.8332778709086095</v>
      </c>
      <c r="I44" s="1">
        <f t="shared" si="2"/>
        <v>0.93273492721375273</v>
      </c>
      <c r="J44" s="1">
        <f t="shared" si="3"/>
        <v>3.1273233329372037</v>
      </c>
      <c r="K44" s="1">
        <f t="shared" si="4"/>
        <v>0.93273492721375273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2.8639740247967782</v>
      </c>
      <c r="I45" s="1">
        <f t="shared" si="2"/>
        <v>0.94198077357119003</v>
      </c>
      <c r="J45" s="1">
        <f t="shared" si="3"/>
        <v>2.376547351872035</v>
      </c>
      <c r="K45" s="1">
        <f t="shared" si="4"/>
        <v>0.94198077357119003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2.7469684357130277</v>
      </c>
      <c r="I46" s="1">
        <f t="shared" si="2"/>
        <v>1.2601565158520764</v>
      </c>
      <c r="J46" s="1">
        <f t="shared" si="3"/>
        <v>2.6822563365234906</v>
      </c>
      <c r="K46" s="1">
        <f t="shared" si="4"/>
        <v>1.2601565158520764</v>
      </c>
      <c r="L46" s="1">
        <f t="shared" si="5"/>
        <v>2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2.9592225968151418</v>
      </c>
      <c r="I47" s="1">
        <f t="shared" si="2"/>
        <v>1.5899668060825811</v>
      </c>
      <c r="J47" s="1">
        <f t="shared" si="3"/>
        <v>2.0029703839967885</v>
      </c>
      <c r="K47" s="1">
        <f t="shared" si="4"/>
        <v>1.5899668060825811</v>
      </c>
      <c r="L47" s="1">
        <f t="shared" si="5"/>
        <v>2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2.7913109791194022</v>
      </c>
      <c r="I48" s="1">
        <f t="shared" si="2"/>
        <v>1.3030711586265902</v>
      </c>
      <c r="J48" s="1">
        <f t="shared" si="3"/>
        <v>2.289802329240306</v>
      </c>
      <c r="K48" s="1">
        <f t="shared" si="4"/>
        <v>1.3030711586265902</v>
      </c>
      <c r="L48" s="1">
        <f t="shared" si="5"/>
        <v>2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3.3029265748570165</v>
      </c>
      <c r="I49" s="1">
        <f t="shared" si="2"/>
        <v>2.1677164123668122</v>
      </c>
      <c r="J49" s="1">
        <f t="shared" si="3"/>
        <v>1.2817019639470142</v>
      </c>
      <c r="K49" s="1">
        <f t="shared" si="4"/>
        <v>1.2817019639470142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2.9592225968151418</v>
      </c>
      <c r="I50" s="1">
        <f t="shared" si="2"/>
        <v>1.5899668060825811</v>
      </c>
      <c r="J50" s="1">
        <f t="shared" si="3"/>
        <v>2.0029703839967885</v>
      </c>
      <c r="K50" s="1">
        <f t="shared" si="4"/>
        <v>1.5899668060825811</v>
      </c>
      <c r="L50" s="1">
        <f t="shared" si="5"/>
        <v>2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2.8191658432805897</v>
      </c>
      <c r="I51" s="1">
        <f t="shared" si="2"/>
        <v>0.86351671154130605</v>
      </c>
      <c r="J51" s="1">
        <f t="shared" si="3"/>
        <v>2.6877619448551839</v>
      </c>
      <c r="K51" s="1">
        <f t="shared" si="4"/>
        <v>0.86351671154130605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2.8332778709086095</v>
      </c>
      <c r="I52" s="1">
        <f t="shared" si="2"/>
        <v>0.93273492721375273</v>
      </c>
      <c r="J52" s="1">
        <f t="shared" si="3"/>
        <v>3.1273233329372037</v>
      </c>
      <c r="K52" s="1">
        <f t="shared" si="4"/>
        <v>0.93273492721375273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2.9592225968151418</v>
      </c>
      <c r="I53" s="1">
        <f t="shared" si="2"/>
        <v>1.5899668060825811</v>
      </c>
      <c r="J53" s="1">
        <f t="shared" si="3"/>
        <v>2.0029703839967885</v>
      </c>
      <c r="K53" s="1">
        <f t="shared" si="4"/>
        <v>1.5899668060825811</v>
      </c>
      <c r="L53" s="1">
        <f t="shared" si="5"/>
        <v>2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1.9358366392287398</v>
      </c>
      <c r="I54" s="1">
        <f t="shared" si="2"/>
        <v>1.0217604633398401</v>
      </c>
      <c r="J54" s="1">
        <f t="shared" si="3"/>
        <v>2.6847676464994104</v>
      </c>
      <c r="K54" s="1">
        <f t="shared" si="4"/>
        <v>1.0217604633398401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1.8458686127785173</v>
      </c>
      <c r="I55" s="1">
        <f t="shared" si="2"/>
        <v>1.3954668673163753</v>
      </c>
      <c r="J55" s="1">
        <f t="shared" si="3"/>
        <v>2.9973428686441128</v>
      </c>
      <c r="K55" s="1">
        <f t="shared" si="4"/>
        <v>1.3954668673163753</v>
      </c>
      <c r="L55" s="1">
        <f t="shared" si="5"/>
        <v>2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1.8458686127785173</v>
      </c>
      <c r="I56" s="1">
        <f t="shared" si="2"/>
        <v>1.3954668673163753</v>
      </c>
      <c r="J56" s="1">
        <f t="shared" si="3"/>
        <v>2.9973428686441128</v>
      </c>
      <c r="K56" s="1">
        <f t="shared" si="4"/>
        <v>1.3954668673163753</v>
      </c>
      <c r="L56" s="1">
        <f t="shared" si="5"/>
        <v>2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2.4484495817242262</v>
      </c>
      <c r="I57" s="1">
        <f t="shared" si="2"/>
        <v>1.7048932843762132</v>
      </c>
      <c r="J57" s="1">
        <f t="shared" si="3"/>
        <v>2.2304559707443481</v>
      </c>
      <c r="K57" s="1">
        <f t="shared" si="4"/>
        <v>1.7048932843762132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1.8241336282686154</v>
      </c>
      <c r="I58" s="1">
        <f t="shared" si="2"/>
        <v>1.3501831151530685</v>
      </c>
      <c r="J58" s="1">
        <f t="shared" si="3"/>
        <v>2.5353456008382729</v>
      </c>
      <c r="K58" s="1">
        <f t="shared" si="4"/>
        <v>1.3501831151530685</v>
      </c>
      <c r="L58" s="1">
        <f t="shared" si="5"/>
        <v>2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2.1325327786273198</v>
      </c>
      <c r="I59" s="1">
        <f t="shared" si="2"/>
        <v>1.6717239936996509</v>
      </c>
      <c r="J59" s="1">
        <f t="shared" si="3"/>
        <v>1.9027837531737957</v>
      </c>
      <c r="K59" s="1">
        <f t="shared" si="4"/>
        <v>1.6717239936996509</v>
      </c>
      <c r="L59" s="1">
        <f t="shared" si="5"/>
        <v>2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2.5111422872477136</v>
      </c>
      <c r="I60" s="1">
        <f t="shared" si="2"/>
        <v>1.7874547391317193</v>
      </c>
      <c r="J60" s="1">
        <f t="shared" si="3"/>
        <v>2.2180433823811394</v>
      </c>
      <c r="K60" s="1">
        <f t="shared" si="4"/>
        <v>1.7874547391317193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1.9918492648241288</v>
      </c>
      <c r="I61" s="1">
        <f t="shared" si="2"/>
        <v>1.5029951578246832</v>
      </c>
      <c r="J61" s="1">
        <f t="shared" si="3"/>
        <v>2.3487598787155521</v>
      </c>
      <c r="K61" s="1">
        <f t="shared" si="4"/>
        <v>1.5029951578246832</v>
      </c>
      <c r="L61" s="1">
        <f t="shared" si="5"/>
        <v>2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1.9540115578468382</v>
      </c>
      <c r="I62" s="1">
        <f t="shared" si="2"/>
        <v>1.0661431006722837</v>
      </c>
      <c r="J62" s="1">
        <f t="shared" si="3"/>
        <v>3.064122530335132</v>
      </c>
      <c r="K62" s="1">
        <f t="shared" si="4"/>
        <v>1.0661431006722837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1.9540115578468382</v>
      </c>
      <c r="I63" s="1">
        <f t="shared" si="2"/>
        <v>1.0661431006722837</v>
      </c>
      <c r="J63" s="1">
        <f t="shared" si="3"/>
        <v>3.064122530335132</v>
      </c>
      <c r="K63" s="1">
        <f t="shared" si="4"/>
        <v>1.0661431006722837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1.9442875794117602</v>
      </c>
      <c r="I64" s="1">
        <f t="shared" si="2"/>
        <v>1.0044871549424832</v>
      </c>
      <c r="J64" s="1">
        <f t="shared" si="3"/>
        <v>2.4783714696907198</v>
      </c>
      <c r="K64" s="1">
        <f t="shared" si="4"/>
        <v>1.0044871549424832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1.9442875794117602</v>
      </c>
      <c r="I65" s="1">
        <f t="shared" si="2"/>
        <v>1.0044871549424832</v>
      </c>
      <c r="J65" s="1">
        <f t="shared" si="3"/>
        <v>2.4783714696907198</v>
      </c>
      <c r="K65" s="1">
        <f t="shared" si="4"/>
        <v>1.0044871549424832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1.9334926238128145</v>
      </c>
      <c r="I66" s="1">
        <f t="shared" si="2"/>
        <v>1.0061450083252304</v>
      </c>
      <c r="J66" s="1">
        <f t="shared" si="3"/>
        <v>2.6139548436010966</v>
      </c>
      <c r="K66" s="1">
        <f t="shared" si="4"/>
        <v>1.0061450083252304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1.8355718343057843</v>
      </c>
      <c r="I67" s="1">
        <f t="shared" si="2"/>
        <v>1.348948149897212</v>
      </c>
      <c r="J67" s="1">
        <f t="shared" si="3"/>
        <v>2.3953167918004681</v>
      </c>
      <c r="K67" s="1">
        <f t="shared" si="4"/>
        <v>1.348948149897212</v>
      </c>
      <c r="L67" s="1">
        <f t="shared" si="5"/>
        <v>2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1.9358366392287398</v>
      </c>
      <c r="I68" s="1">
        <f t="shared" si="2"/>
        <v>1.0217604633398401</v>
      </c>
      <c r="J68" s="1">
        <f t="shared" si="3"/>
        <v>2.6847676464994104</v>
      </c>
      <c r="K68" s="1">
        <f t="shared" si="4"/>
        <v>1.0217604633398401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1.9358366392287398</v>
      </c>
      <c r="I69" s="1">
        <f t="shared" si="2"/>
        <v>1.0217604633398401</v>
      </c>
      <c r="J69" s="1">
        <f t="shared" si="3"/>
        <v>2.6847676464994104</v>
      </c>
      <c r="K69" s="1">
        <f t="shared" si="4"/>
        <v>1.0217604633398401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1.8458686127785173</v>
      </c>
      <c r="I70" s="1">
        <f t="shared" si="2"/>
        <v>1.3954668673163753</v>
      </c>
      <c r="J70" s="1">
        <f t="shared" si="3"/>
        <v>2.9973428686441128</v>
      </c>
      <c r="K70" s="1">
        <f t="shared" si="4"/>
        <v>1.3954668673163753</v>
      </c>
      <c r="L70" s="1">
        <f t="shared" si="5"/>
        <v>2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1.9540115578468382</v>
      </c>
      <c r="I71" s="1">
        <f t="shared" si="2"/>
        <v>1.0661431006722837</v>
      </c>
      <c r="J71" s="1">
        <f t="shared" si="3"/>
        <v>3.064122530335132</v>
      </c>
      <c r="K71" s="1">
        <f t="shared" si="4"/>
        <v>1.0661431006722837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1.9540115578468382</v>
      </c>
      <c r="I72" s="1">
        <f t="shared" si="2"/>
        <v>1.0661431006722837</v>
      </c>
      <c r="J72" s="1">
        <f t="shared" si="3"/>
        <v>3.064122530335132</v>
      </c>
      <c r="K72" s="1">
        <f t="shared" si="4"/>
        <v>1.0661431006722837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3.0760550477147057</v>
      </c>
      <c r="I73" s="1">
        <f t="shared" si="2"/>
        <v>2.7636921761376469</v>
      </c>
      <c r="J73" s="1">
        <f t="shared" si="3"/>
        <v>0.89718105052944119</v>
      </c>
      <c r="K73" s="1">
        <f t="shared" si="4"/>
        <v>0.89718105052944119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3.3705321166834139</v>
      </c>
      <c r="I74" s="1">
        <f t="shared" si="2"/>
        <v>3.0882024616991099</v>
      </c>
      <c r="J74" s="1">
        <f t="shared" si="3"/>
        <v>0.97942925396174896</v>
      </c>
      <c r="K74" s="1">
        <f t="shared" si="4"/>
        <v>0.97942925396174896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1.8458686127785173</v>
      </c>
      <c r="I75" s="1">
        <f t="shared" ref="I75:I135" si="7">SQRT((($C75-$C$3)^2)+(($D75-$D$3)^2)+(($E75-$E$3)^2)+(($F75-$F$3)^2)+(($G75-$G$3)^2))</f>
        <v>1.3954668673163753</v>
      </c>
      <c r="J75" s="1">
        <f t="shared" ref="J75:J135" si="8">SQRT((($C75-$C$4)^2)+(($D75-$D$4)^2)+(($E75-$E$4)^2)+(($F75-$F$4)^2)+(($G75-$G$4)^2))</f>
        <v>2.9973428686441128</v>
      </c>
      <c r="K75" s="1">
        <f t="shared" ref="K75:K135" si="9">MIN(H75:J75)</f>
        <v>1.3954668673163753</v>
      </c>
      <c r="L75" s="1">
        <f t="shared" ref="L75:L135" si="10">IF(K75=J75, $J$9, IF(K75=I75, $I$9, IF(K75=H75, $H$9)))</f>
        <v>2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1.9540115578468382</v>
      </c>
      <c r="I76" s="1">
        <f t="shared" si="7"/>
        <v>1.0661431006722837</v>
      </c>
      <c r="J76" s="1">
        <f t="shared" si="8"/>
        <v>3.064122530335132</v>
      </c>
      <c r="K76" s="1">
        <f t="shared" si="9"/>
        <v>1.0661431006722837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1.9540115578468382</v>
      </c>
      <c r="I77" s="1">
        <f t="shared" si="7"/>
        <v>1.0661431006722837</v>
      </c>
      <c r="J77" s="1">
        <f t="shared" si="8"/>
        <v>3.064122530335132</v>
      </c>
      <c r="K77" s="1">
        <f t="shared" si="9"/>
        <v>1.0661431006722837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2.4484495817242262</v>
      </c>
      <c r="I78" s="1">
        <f t="shared" si="7"/>
        <v>1.7048932843762132</v>
      </c>
      <c r="J78" s="1">
        <f t="shared" si="8"/>
        <v>2.2304559707443481</v>
      </c>
      <c r="K78" s="1">
        <f t="shared" si="9"/>
        <v>1.7048932843762132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1.8458686127785173</v>
      </c>
      <c r="I79" s="1">
        <f t="shared" si="7"/>
        <v>1.3954668673163753</v>
      </c>
      <c r="J79" s="1">
        <f t="shared" si="8"/>
        <v>2.9973428686441128</v>
      </c>
      <c r="K79" s="1">
        <f t="shared" si="9"/>
        <v>1.3954668673163753</v>
      </c>
      <c r="L79" s="1">
        <f t="shared" si="10"/>
        <v>2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2.1789208457215596</v>
      </c>
      <c r="I80" s="1">
        <f t="shared" si="7"/>
        <v>1.3400228024593874</v>
      </c>
      <c r="J80" s="1">
        <f t="shared" si="8"/>
        <v>2.0446481387618154</v>
      </c>
      <c r="K80" s="1">
        <f t="shared" si="9"/>
        <v>1.3400228024593874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2.2267973155359462</v>
      </c>
      <c r="I81" s="1">
        <f t="shared" si="7"/>
        <v>1.4085433768416378</v>
      </c>
      <c r="J81" s="1">
        <f t="shared" si="8"/>
        <v>2.0063321310385795</v>
      </c>
      <c r="K81" s="1">
        <f t="shared" si="9"/>
        <v>1.4085433768416378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1.8458686127785173</v>
      </c>
      <c r="I82" s="1">
        <f t="shared" si="7"/>
        <v>1.3954668673163753</v>
      </c>
      <c r="J82" s="1">
        <f t="shared" si="8"/>
        <v>2.9973428686441128</v>
      </c>
      <c r="K82" s="1">
        <f t="shared" si="9"/>
        <v>1.3954668673163753</v>
      </c>
      <c r="L82" s="1">
        <f t="shared" si="10"/>
        <v>2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1.9334926238128145</v>
      </c>
      <c r="I83" s="1">
        <f t="shared" si="7"/>
        <v>1.0061450083252304</v>
      </c>
      <c r="J83" s="1">
        <f t="shared" si="8"/>
        <v>2.6139548436010966</v>
      </c>
      <c r="K83" s="1">
        <f t="shared" si="9"/>
        <v>1.0061450083252304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1.2684079953302216</v>
      </c>
      <c r="I84" s="1">
        <f t="shared" si="7"/>
        <v>1.8448110412120202</v>
      </c>
      <c r="J84" s="1">
        <f t="shared" si="8"/>
        <v>3.3162542925839213</v>
      </c>
      <c r="K84" s="1">
        <f t="shared" si="9"/>
        <v>1.2684079953302216</v>
      </c>
      <c r="L84" s="1">
        <f t="shared" si="10"/>
        <v>1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1.0617113240617184</v>
      </c>
      <c r="I85" s="1">
        <f t="shared" si="7"/>
        <v>2.0301053612504396</v>
      </c>
      <c r="J85" s="1">
        <f t="shared" si="8"/>
        <v>2.9003259056816777</v>
      </c>
      <c r="K85" s="1">
        <f t="shared" si="9"/>
        <v>1.0617113240617184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3.42338378173354</v>
      </c>
      <c r="I86" s="1">
        <f t="shared" si="7"/>
        <v>3.6225213748315013</v>
      </c>
      <c r="J86" s="1">
        <f t="shared" si="8"/>
        <v>1.8342570852583386</v>
      </c>
      <c r="K86" s="1">
        <f t="shared" si="9"/>
        <v>1.8342570852583386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1.3259566992172205</v>
      </c>
      <c r="I87" s="1">
        <f t="shared" si="7"/>
        <v>2.1273601272730271</v>
      </c>
      <c r="J87" s="1">
        <f t="shared" si="8"/>
        <v>2.6693386109742256</v>
      </c>
      <c r="K87" s="1">
        <f t="shared" si="9"/>
        <v>1.3259566992172205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1.0617113240617184</v>
      </c>
      <c r="I88" s="1">
        <f t="shared" si="7"/>
        <v>2.0301053612504396</v>
      </c>
      <c r="J88" s="1">
        <f t="shared" si="8"/>
        <v>2.9003259056816777</v>
      </c>
      <c r="K88" s="1">
        <f t="shared" si="9"/>
        <v>1.0617113240617184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1.0574314011788315</v>
      </c>
      <c r="I89" s="1">
        <f t="shared" si="7"/>
        <v>2.0222910549945849</v>
      </c>
      <c r="J89" s="1">
        <f t="shared" si="8"/>
        <v>2.8349026381630633</v>
      </c>
      <c r="K89" s="1">
        <f t="shared" si="9"/>
        <v>1.0574314011788315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3.7786146416457305</v>
      </c>
      <c r="I90" s="1">
        <f t="shared" si="7"/>
        <v>4.1086081720104568</v>
      </c>
      <c r="J90" s="1">
        <f t="shared" si="8"/>
        <v>1.9541870127772758</v>
      </c>
      <c r="K90" s="1">
        <f t="shared" si="9"/>
        <v>1.9541870127772758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1.0944992508263731</v>
      </c>
      <c r="I91" s="1">
        <f t="shared" si="7"/>
        <v>2.0528016086423073</v>
      </c>
      <c r="J91" s="1">
        <f t="shared" si="8"/>
        <v>3.2546520435194961</v>
      </c>
      <c r="K91" s="1">
        <f t="shared" si="9"/>
        <v>1.0944992508263731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1.0617113240617184</v>
      </c>
      <c r="I92" s="1">
        <f t="shared" si="7"/>
        <v>2.0301053612504396</v>
      </c>
      <c r="J92" s="1">
        <f t="shared" si="8"/>
        <v>2.9003259056816777</v>
      </c>
      <c r="K92" s="1">
        <f t="shared" si="9"/>
        <v>1.0617113240617184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1.3259566992172205</v>
      </c>
      <c r="I93" s="1">
        <f t="shared" si="7"/>
        <v>2.1273601272730271</v>
      </c>
      <c r="J93" s="1">
        <f t="shared" si="8"/>
        <v>2.6693386109742256</v>
      </c>
      <c r="K93" s="1">
        <f t="shared" si="9"/>
        <v>1.3259566992172205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1.2365643536659006</v>
      </c>
      <c r="I94" s="1">
        <f t="shared" si="7"/>
        <v>1.81079939376079</v>
      </c>
      <c r="J94" s="1">
        <f t="shared" si="8"/>
        <v>2.905418313523811</v>
      </c>
      <c r="K94" s="1">
        <f t="shared" si="9"/>
        <v>1.2365643536659006</v>
      </c>
      <c r="L94" s="1">
        <f t="shared" si="10"/>
        <v>1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1.3355682549191801</v>
      </c>
      <c r="I95" s="1">
        <f t="shared" si="7"/>
        <v>1.8495029362266799</v>
      </c>
      <c r="J95" s="1">
        <f t="shared" si="8"/>
        <v>2.6201848446317313</v>
      </c>
      <c r="K95" s="1">
        <f t="shared" si="9"/>
        <v>1.3355682549191801</v>
      </c>
      <c r="L95" s="1">
        <f t="shared" si="10"/>
        <v>1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1.3355682549191801</v>
      </c>
      <c r="I96" s="1">
        <f t="shared" si="7"/>
        <v>1.8495029362266799</v>
      </c>
      <c r="J96" s="1">
        <f t="shared" si="8"/>
        <v>2.6201848446317313</v>
      </c>
      <c r="K96" s="1">
        <f t="shared" si="9"/>
        <v>1.3355682549191801</v>
      </c>
      <c r="L96" s="1">
        <f t="shared" si="10"/>
        <v>1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1.2402262568576052</v>
      </c>
      <c r="I97" s="1">
        <f t="shared" si="7"/>
        <v>1.8195222205598676</v>
      </c>
      <c r="J97" s="1">
        <f t="shared" si="8"/>
        <v>2.9692882931544209</v>
      </c>
      <c r="K97" s="1">
        <f t="shared" si="9"/>
        <v>1.2402262568576052</v>
      </c>
      <c r="L97" s="1">
        <f t="shared" si="10"/>
        <v>1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1.2365643536659006</v>
      </c>
      <c r="I98" s="1">
        <f t="shared" si="7"/>
        <v>1.81079939376079</v>
      </c>
      <c r="J98" s="1">
        <f t="shared" si="8"/>
        <v>2.905418313523811</v>
      </c>
      <c r="K98" s="1">
        <f t="shared" si="9"/>
        <v>1.2365643536659006</v>
      </c>
      <c r="L98" s="1">
        <f t="shared" si="10"/>
        <v>1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4.1913280634711576</v>
      </c>
      <c r="I99" s="1">
        <f t="shared" si="7"/>
        <v>4.353044273200589</v>
      </c>
      <c r="J99" s="1">
        <f t="shared" si="8"/>
        <v>2.3147305060611227</v>
      </c>
      <c r="K99" s="1">
        <f t="shared" si="9"/>
        <v>2.3147305060611227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4.614816709385356</v>
      </c>
      <c r="I100" s="1">
        <f t="shared" si="7"/>
        <v>4.7598663613359751</v>
      </c>
      <c r="J100" s="1">
        <f t="shared" si="8"/>
        <v>2.6414215397154215</v>
      </c>
      <c r="K100" s="1">
        <f t="shared" si="9"/>
        <v>2.6414215397154215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1.0617113240617184</v>
      </c>
      <c r="I101" s="1">
        <f t="shared" si="7"/>
        <v>2.0301053612504396</v>
      </c>
      <c r="J101" s="1">
        <f t="shared" si="8"/>
        <v>2.9003259056816777</v>
      </c>
      <c r="K101" s="1">
        <f t="shared" si="9"/>
        <v>1.0617113240617184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1.0944992508263731</v>
      </c>
      <c r="I102" s="1">
        <f t="shared" si="7"/>
        <v>2.0528016086423073</v>
      </c>
      <c r="J102" s="1">
        <f t="shared" si="8"/>
        <v>3.2546520435194961</v>
      </c>
      <c r="K102" s="1">
        <f t="shared" si="9"/>
        <v>1.0944992508263731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4.8653997427314355</v>
      </c>
      <c r="I103" s="1">
        <f t="shared" si="7"/>
        <v>5.1233121882018651</v>
      </c>
      <c r="J103" s="1">
        <f t="shared" si="8"/>
        <v>2.8212198892528861</v>
      </c>
      <c r="K103" s="1">
        <f t="shared" si="9"/>
        <v>2.8212198892528861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1.2365643536659006</v>
      </c>
      <c r="I104" s="1">
        <f t="shared" si="7"/>
        <v>1.81079939376079</v>
      </c>
      <c r="J104" s="1">
        <f t="shared" si="8"/>
        <v>2.905418313523811</v>
      </c>
      <c r="K104" s="1">
        <f t="shared" si="9"/>
        <v>1.2365643536659006</v>
      </c>
      <c r="L104" s="1">
        <f t="shared" si="10"/>
        <v>1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3.0558785522887786</v>
      </c>
      <c r="I105" s="1">
        <f t="shared" si="7"/>
        <v>4.0133935488284447</v>
      </c>
      <c r="J105" s="1">
        <f t="shared" si="8"/>
        <v>3.2915800240644941</v>
      </c>
      <c r="K105" s="1">
        <f t="shared" si="9"/>
        <v>3.0558785522887786</v>
      </c>
      <c r="L105" s="1">
        <f t="shared" si="10"/>
        <v>1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5.3734509508962116</v>
      </c>
      <c r="I106" s="1">
        <f t="shared" si="7"/>
        <v>5.8872739399865237</v>
      </c>
      <c r="J106" s="1">
        <f t="shared" si="8"/>
        <v>3.8074496671478002</v>
      </c>
      <c r="K106" s="1">
        <f t="shared" si="9"/>
        <v>3.8074496671478002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3.3423321833733071</v>
      </c>
      <c r="I107" s="1">
        <f t="shared" si="7"/>
        <v>4.2275675958851062</v>
      </c>
      <c r="J107" s="1">
        <f t="shared" si="8"/>
        <v>3.4013007630768808</v>
      </c>
      <c r="K107" s="1">
        <f t="shared" si="9"/>
        <v>3.3423321833733071</v>
      </c>
      <c r="L107" s="1">
        <f t="shared" si="10"/>
        <v>1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5.8850834896224651</v>
      </c>
      <c r="I108" s="1">
        <f t="shared" si="7"/>
        <v>6.44784158545409</v>
      </c>
      <c r="J108" s="1">
        <f t="shared" si="8"/>
        <v>4.1737975527500319</v>
      </c>
      <c r="K108" s="1">
        <f t="shared" si="9"/>
        <v>4.1737975527500319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0.99429687944702727</v>
      </c>
      <c r="I109" s="1">
        <f t="shared" si="7"/>
        <v>2.9121574667437047</v>
      </c>
      <c r="J109" s="1">
        <f t="shared" si="8"/>
        <v>3.7684818662903958</v>
      </c>
      <c r="K109" s="1">
        <f t="shared" si="9"/>
        <v>0.99429687944702727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6.297897268565781</v>
      </c>
      <c r="I110" s="1">
        <f t="shared" si="7"/>
        <v>6.7366901698418964</v>
      </c>
      <c r="J110" s="1">
        <f t="shared" si="8"/>
        <v>4.5496941046761332</v>
      </c>
      <c r="K110" s="1">
        <f t="shared" si="9"/>
        <v>4.5496941046761332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4.3633274326456517</v>
      </c>
      <c r="I111" s="1">
        <f t="shared" si="7"/>
        <v>5.0754633067117894</v>
      </c>
      <c r="J111" s="1">
        <f t="shared" si="8"/>
        <v>3.1117133422578682</v>
      </c>
      <c r="K111" s="1">
        <f t="shared" si="9"/>
        <v>3.1117133422578682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0.95334088479285883</v>
      </c>
      <c r="I112" s="1">
        <f t="shared" si="7"/>
        <v>2.8907313569022248</v>
      </c>
      <c r="J112" s="1">
        <f t="shared" si="8"/>
        <v>3.4125311163471914</v>
      </c>
      <c r="K112" s="1">
        <f t="shared" si="9"/>
        <v>0.95334088479285883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1.183028536019413</v>
      </c>
      <c r="I113" s="1">
        <f t="shared" si="7"/>
        <v>2.7694754818276408</v>
      </c>
      <c r="J113" s="1">
        <f t="shared" si="8"/>
        <v>3.8218108515800724</v>
      </c>
      <c r="K113" s="1">
        <f t="shared" si="9"/>
        <v>1.183028536019413</v>
      </c>
      <c r="L113" s="1">
        <f t="shared" si="10"/>
        <v>1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1.183028536019413</v>
      </c>
      <c r="I114" s="1">
        <f t="shared" si="7"/>
        <v>2.7694754818276408</v>
      </c>
      <c r="J114" s="1">
        <f t="shared" si="8"/>
        <v>3.8218108515800724</v>
      </c>
      <c r="K114" s="1">
        <f t="shared" si="9"/>
        <v>1.183028536019413</v>
      </c>
      <c r="L114" s="1">
        <f t="shared" si="10"/>
        <v>1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1.1668973992138509</v>
      </c>
      <c r="I115" s="1">
        <f t="shared" si="7"/>
        <v>2.7463298741734898</v>
      </c>
      <c r="J115" s="1">
        <f t="shared" si="8"/>
        <v>3.3704178444407695</v>
      </c>
      <c r="K115" s="1">
        <f t="shared" si="9"/>
        <v>1.1668973992138509</v>
      </c>
      <c r="L115" s="1">
        <f t="shared" si="10"/>
        <v>1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1.1527613988235514</v>
      </c>
      <c r="I116" s="1">
        <f t="shared" si="7"/>
        <v>2.7526946393993246</v>
      </c>
      <c r="J116" s="1">
        <f t="shared" si="8"/>
        <v>3.5249636338603278</v>
      </c>
      <c r="K116" s="1">
        <f t="shared" si="9"/>
        <v>1.1527613988235514</v>
      </c>
      <c r="L116" s="1">
        <f t="shared" si="10"/>
        <v>1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1.183028536019413</v>
      </c>
      <c r="I117" s="1">
        <f t="shared" si="7"/>
        <v>2.7694754818276408</v>
      </c>
      <c r="J117" s="1">
        <f t="shared" si="8"/>
        <v>3.8218108515800724</v>
      </c>
      <c r="K117" s="1">
        <f t="shared" si="9"/>
        <v>1.183028536019413</v>
      </c>
      <c r="L117" s="1">
        <f t="shared" si="10"/>
        <v>1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1.183028536019413</v>
      </c>
      <c r="I118" s="1">
        <f t="shared" si="7"/>
        <v>2.7694754818276408</v>
      </c>
      <c r="J118" s="1">
        <f t="shared" si="8"/>
        <v>3.8218108515800724</v>
      </c>
      <c r="K118" s="1">
        <f t="shared" si="9"/>
        <v>1.183028536019413</v>
      </c>
      <c r="L118" s="1">
        <f t="shared" si="10"/>
        <v>1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0.99429687944702727</v>
      </c>
      <c r="I119" s="1">
        <f t="shared" si="7"/>
        <v>2.9121574667437047</v>
      </c>
      <c r="J119" s="1">
        <f t="shared" si="8"/>
        <v>3.7684818662903958</v>
      </c>
      <c r="K119" s="1">
        <f t="shared" si="9"/>
        <v>0.99429687944702727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0.99429687944702727</v>
      </c>
      <c r="I120" s="1">
        <f t="shared" si="7"/>
        <v>2.9121574667437047</v>
      </c>
      <c r="J120" s="1">
        <f t="shared" si="8"/>
        <v>3.7684818662903958</v>
      </c>
      <c r="K120" s="1">
        <f t="shared" si="9"/>
        <v>0.99429687944702727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1.1527613988235514</v>
      </c>
      <c r="I121" s="1">
        <f t="shared" si="7"/>
        <v>2.7526946393993246</v>
      </c>
      <c r="J121" s="1">
        <f t="shared" si="8"/>
        <v>3.5249636338603278</v>
      </c>
      <c r="K121" s="1">
        <f t="shared" si="9"/>
        <v>1.1527613988235514</v>
      </c>
      <c r="L121" s="1">
        <f t="shared" si="10"/>
        <v>1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1.183028536019413</v>
      </c>
      <c r="I122" s="1">
        <f t="shared" si="7"/>
        <v>2.7694754818276408</v>
      </c>
      <c r="J122" s="1">
        <f t="shared" si="8"/>
        <v>3.8218108515800724</v>
      </c>
      <c r="K122" s="1">
        <f t="shared" si="9"/>
        <v>1.183028536019413</v>
      </c>
      <c r="L122" s="1">
        <f t="shared" si="10"/>
        <v>1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0.99429687944702727</v>
      </c>
      <c r="I123" s="1">
        <f t="shared" si="7"/>
        <v>2.9121574667437047</v>
      </c>
      <c r="J123" s="1">
        <f t="shared" si="8"/>
        <v>3.7684818662903958</v>
      </c>
      <c r="K123" s="1">
        <f t="shared" si="9"/>
        <v>0.99429687944702727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0.99429687944702727</v>
      </c>
      <c r="I124" s="1">
        <f t="shared" si="7"/>
        <v>2.9121574667437047</v>
      </c>
      <c r="J124" s="1">
        <f t="shared" si="8"/>
        <v>3.7684818662903958</v>
      </c>
      <c r="K124" s="1">
        <f t="shared" si="9"/>
        <v>0.99429687944702727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0.99429687944702727</v>
      </c>
      <c r="I125" s="1">
        <f t="shared" si="7"/>
        <v>2.9121574667437047</v>
      </c>
      <c r="J125" s="1">
        <f t="shared" si="8"/>
        <v>3.7684818662903958</v>
      </c>
      <c r="K125" s="1">
        <f t="shared" si="9"/>
        <v>0.99429687944702727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1.6671304564720484</v>
      </c>
      <c r="I126" s="1">
        <f t="shared" si="7"/>
        <v>3.840224964475099</v>
      </c>
      <c r="J126" s="1">
        <f t="shared" si="8"/>
        <v>4.4508596055968175</v>
      </c>
      <c r="K126" s="1">
        <f t="shared" si="9"/>
        <v>1.6671304564720484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1.7861282684776141</v>
      </c>
      <c r="I127" s="1">
        <f t="shared" si="7"/>
        <v>3.7331837767663019</v>
      </c>
      <c r="J127" s="1">
        <f t="shared" si="8"/>
        <v>4.4961020715091768</v>
      </c>
      <c r="K127" s="1">
        <f t="shared" si="9"/>
        <v>1.7861282684776141</v>
      </c>
      <c r="L127" s="1">
        <f t="shared" si="10"/>
        <v>1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1.6430327194052574</v>
      </c>
      <c r="I128" s="1">
        <f t="shared" si="7"/>
        <v>3.8240024116682307</v>
      </c>
      <c r="J128" s="1">
        <f t="shared" si="8"/>
        <v>4.1538011835199482</v>
      </c>
      <c r="K128" s="1">
        <f t="shared" si="9"/>
        <v>1.6430327194052574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1.7636572086418536</v>
      </c>
      <c r="I129" s="1">
        <f t="shared" si="7"/>
        <v>3.71649401691672</v>
      </c>
      <c r="J129" s="1">
        <f t="shared" si="8"/>
        <v>4.2022430773227972</v>
      </c>
      <c r="K129" s="1">
        <f t="shared" si="9"/>
        <v>1.7636572086418536</v>
      </c>
      <c r="L129" s="1">
        <f t="shared" si="10"/>
        <v>1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1.6430327194052574</v>
      </c>
      <c r="I130" s="1">
        <f t="shared" si="7"/>
        <v>3.8240024116682307</v>
      </c>
      <c r="J130" s="1">
        <f t="shared" si="8"/>
        <v>4.1538011835199482</v>
      </c>
      <c r="K130" s="1">
        <f t="shared" si="9"/>
        <v>1.6430327194052574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4.1926595051755111</v>
      </c>
      <c r="I131" s="1">
        <f t="shared" si="7"/>
        <v>5.2343411980666463</v>
      </c>
      <c r="J131" s="1">
        <f t="shared" si="8"/>
        <v>4.4261745101103784</v>
      </c>
      <c r="K131" s="1">
        <f t="shared" si="9"/>
        <v>4.1926595051755111</v>
      </c>
      <c r="L131" s="1">
        <f t="shared" si="10"/>
        <v>1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1.7861282684776141</v>
      </c>
      <c r="I132" s="1">
        <f t="shared" si="7"/>
        <v>3.7331837767663019</v>
      </c>
      <c r="J132" s="1">
        <f t="shared" si="8"/>
        <v>4.4961020715091768</v>
      </c>
      <c r="K132" s="1">
        <f t="shared" si="9"/>
        <v>1.7861282684776141</v>
      </c>
      <c r="L132" s="1">
        <f t="shared" si="10"/>
        <v>1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1.6671304564720484</v>
      </c>
      <c r="I133" s="1">
        <f t="shared" si="7"/>
        <v>3.840224964475099</v>
      </c>
      <c r="J133" s="1">
        <f t="shared" si="8"/>
        <v>4.4508596055968175</v>
      </c>
      <c r="K133" s="1">
        <f t="shared" si="9"/>
        <v>1.6671304564720484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1.6671304564720484</v>
      </c>
      <c r="I134" s="1">
        <f t="shared" si="7"/>
        <v>3.840224964475099</v>
      </c>
      <c r="J134" s="1">
        <f t="shared" si="8"/>
        <v>4.4508596055968175</v>
      </c>
      <c r="K134" s="1">
        <f t="shared" si="9"/>
        <v>1.6671304564720484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1.6671304564720484</v>
      </c>
      <c r="I135" s="1">
        <f t="shared" si="7"/>
        <v>3.840224964475099</v>
      </c>
      <c r="J135" s="1">
        <f t="shared" si="8"/>
        <v>4.4508596055968175</v>
      </c>
      <c r="K135" s="1">
        <f t="shared" si="9"/>
        <v>1.6671304564720484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A6E4-585E-1D4E-B228-600D8F02F6B7}">
  <dimension ref="A1:L135"/>
  <sheetViews>
    <sheetView workbookViewId="0">
      <selection activeCell="M4" sqref="M4"/>
    </sheetView>
  </sheetViews>
  <sheetFormatPr baseColWidth="10" defaultRowHeight="15"/>
  <sheetData>
    <row r="1" spans="1:1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37" t="s">
        <v>11</v>
      </c>
      <c r="I1" s="37"/>
      <c r="J1" s="37"/>
      <c r="K1" s="8" t="s">
        <v>12</v>
      </c>
      <c r="L1" s="8" t="s">
        <v>13</v>
      </c>
    </row>
    <row r="2" spans="1:12">
      <c r="A2" s="13">
        <v>1</v>
      </c>
      <c r="B2" s="9">
        <f>'iterasi 1'!L2</f>
        <v>43</v>
      </c>
      <c r="C2" s="3">
        <f>SUMIF('iterasi 6'!$L$10:$L$135,$A$2,'iterasi 6'!C$10:C$135)/$B$2</f>
        <v>0</v>
      </c>
      <c r="D2" s="3">
        <f>SUMIF('iterasi 6'!$L$10:$L$135,$A$2,'iterasi 6'!D$10:D$135)/$B$2</f>
        <v>-0.33255813953488372</v>
      </c>
      <c r="E2" s="3">
        <f>SUMIF('iterasi 6'!$L$10:$L$135,$A$2,'iterasi 6'!E$10:E$135)/$B$2</f>
        <v>-0.26046511627906971</v>
      </c>
      <c r="F2" s="3">
        <f>SUMIF('iterasi 6'!$L$10:$L$135,$A$2,'iterasi 6'!F$10:F$135)/$B$2</f>
        <v>-0.16046511627906973</v>
      </c>
      <c r="G2" s="3">
        <f>SUMIF('iterasi 6'!$L$10:$L$135,$A$2,'iterasi 6'!G$10:G$135)/$B$2</f>
        <v>4.8604651162790695</v>
      </c>
      <c r="H2" s="1"/>
      <c r="I2" s="1"/>
      <c r="J2" s="1"/>
      <c r="K2" s="1">
        <v>1</v>
      </c>
      <c r="L2" s="1">
        <f>COUNTIF($L$10:$L$135,A2)</f>
        <v>43</v>
      </c>
    </row>
    <row r="3" spans="1:12">
      <c r="A3" s="13">
        <v>2</v>
      </c>
      <c r="B3" s="9">
        <f>'iterasi 1'!L3</f>
        <v>60</v>
      </c>
      <c r="C3" s="3">
        <f>SUMIF('iterasi 6'!$L$10:$L$135,$A$3,'iterasi 6'!C$10:C$135)/$B$3</f>
        <v>0</v>
      </c>
      <c r="D3" s="3">
        <f>SUMIF('iterasi 6'!$L$10:$L$135,$A$3,'iterasi 6'!D$10:D$135)/$B$3</f>
        <v>-0.33999999999999997</v>
      </c>
      <c r="E3" s="3">
        <f>SUMIF('iterasi 6'!$L$10:$L$135,$A$3,'iterasi 6'!E$10:E$135)/$B$3</f>
        <v>-0.27999999999999975</v>
      </c>
      <c r="F3" s="3">
        <f>SUMIF('iterasi 6'!$L$10:$L$135,$A$3,'iterasi 6'!F$10:F$135)/$B$3</f>
        <v>0.1466666666666667</v>
      </c>
      <c r="G3" s="3">
        <f>SUMIF('iterasi 6'!$L$10:$L$135,$A$3,'iterasi 6'!G$10:G$135)/$B$3</f>
        <v>2.4166666666666665</v>
      </c>
      <c r="H3" s="1"/>
      <c r="I3" s="1"/>
      <c r="J3" s="1"/>
      <c r="K3" s="1">
        <v>2</v>
      </c>
      <c r="L3" s="1">
        <f t="shared" ref="L3:L4" si="0">COUNTIF($L$10:$L$135,A3)</f>
        <v>70</v>
      </c>
    </row>
    <row r="4" spans="1:12">
      <c r="A4" s="13">
        <v>3</v>
      </c>
      <c r="B4" s="9">
        <f>'iterasi 1'!L4</f>
        <v>23</v>
      </c>
      <c r="C4" s="3">
        <f>SUMIF('iterasi 6'!$L$10:$L$135,$A$4,'iterasi 6'!C$10:C$135)/$B$4</f>
        <v>0</v>
      </c>
      <c r="D4" s="3">
        <f>SUMIF('iterasi 6'!$L$10:$L$135,$A$4,'iterasi 6'!D$10:D$135)/$B$4</f>
        <v>1.4608695652173913</v>
      </c>
      <c r="E4" s="3">
        <f>SUMIF('iterasi 6'!$L$10:$L$135,$A$4,'iterasi 6'!E$10:E$135)/$B$4</f>
        <v>1.1260869565217393</v>
      </c>
      <c r="F4" s="3">
        <f>SUMIF('iterasi 6'!$L$10:$L$135,$A$4,'iterasi 6'!F$10:F$135)/$B$4</f>
        <v>-0.10869565217391307</v>
      </c>
      <c r="G4" s="3">
        <f>SUMIF('iterasi 6'!$L$10:$L$135,$A$4,'iterasi 6'!G$10:G$135)/$B$4</f>
        <v>2.0869565217391304</v>
      </c>
      <c r="H4" s="1"/>
      <c r="I4" s="1"/>
      <c r="J4" s="1"/>
      <c r="K4" s="1">
        <v>3</v>
      </c>
      <c r="L4" s="1">
        <f t="shared" si="0"/>
        <v>13</v>
      </c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39" t="s">
        <v>10</v>
      </c>
      <c r="C8" s="38" t="s">
        <v>14</v>
      </c>
      <c r="D8" s="38"/>
      <c r="E8" s="38"/>
      <c r="F8" s="38"/>
      <c r="G8" s="38"/>
      <c r="H8" s="36" t="s">
        <v>15</v>
      </c>
      <c r="I8" s="36"/>
      <c r="J8" s="36"/>
      <c r="K8" s="36" t="s">
        <v>16</v>
      </c>
      <c r="L8" s="36" t="s">
        <v>17</v>
      </c>
    </row>
    <row r="9" spans="1:12">
      <c r="A9" s="1"/>
      <c r="B9" s="3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36"/>
      <c r="L9" s="36"/>
    </row>
    <row r="10" spans="1:1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3.9785974193973783</v>
      </c>
      <c r="I10" s="1">
        <f>SQRT((($C10-$C$3)^2)+(($D10-$D$3)^2)+(($E10-$E$3)^2)+(($F10-$F$3)^2)+(($G10-$G$3)^2))</f>
        <v>1.8771757746382967</v>
      </c>
      <c r="J10" s="1">
        <f>SQRT((($C10-$C$4)^2)+(($D10-$D$4)^2)+(($E10-$E$4)^2)+(($F10-$F$4)^2)+(($G10-$G$4)^2))</f>
        <v>3.0258058340183669</v>
      </c>
      <c r="K10" s="1">
        <f>MIN(H10:J10)</f>
        <v>1.8771757746382967</v>
      </c>
      <c r="L10" s="1">
        <f>IF(K10=J10, $J$9, IF(K10=I10, $I$9, IF(K10=H10, $H$9)))</f>
        <v>2</v>
      </c>
    </row>
    <row r="11" spans="1:1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4.017366976719388</v>
      </c>
      <c r="I11" s="1">
        <f t="shared" ref="I11:I74" si="2">SQRT((($C11-$C$3)^2)+(($D11-$D$3)^2)+(($E11-$E$3)^2)+(($F11-$F$3)^2)+(($G11-$G$3)^2))</f>
        <v>1.6372096858849681</v>
      </c>
      <c r="J11" s="1">
        <f t="shared" ref="J11:J74" si="3">SQRT((($C11-$C$4)^2)+(($D11-$D$4)^2)+(($E11-$E$4)^2)+(($F11-$F$4)^2)+(($G11-$G$4)^2))</f>
        <v>2.6980389153342181</v>
      </c>
      <c r="K11" s="1">
        <f t="shared" ref="K11:K74" si="4">MIN(H11:J11)</f>
        <v>1.6372096858849681</v>
      </c>
      <c r="L11" s="1">
        <f t="shared" ref="L11:L74" si="5">IF(K11=J11, $J$9, IF(K11=I11, $I$9, IF(K11=H11, $H$9)))</f>
        <v>2</v>
      </c>
    </row>
    <row r="12" spans="1:1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4.0310054412634999</v>
      </c>
      <c r="I12" s="1">
        <f t="shared" si="2"/>
        <v>1.666269952785429</v>
      </c>
      <c r="J12" s="1">
        <f t="shared" si="3"/>
        <v>3.0624409257062339</v>
      </c>
      <c r="K12" s="1">
        <f t="shared" si="4"/>
        <v>1.666269952785429</v>
      </c>
      <c r="L12" s="1">
        <f t="shared" si="5"/>
        <v>2</v>
      </c>
    </row>
    <row r="13" spans="1:1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4.017366976719388</v>
      </c>
      <c r="I13" s="1">
        <f t="shared" si="2"/>
        <v>1.6372096858849681</v>
      </c>
      <c r="J13" s="1">
        <f t="shared" si="3"/>
        <v>2.6980389153342181</v>
      </c>
      <c r="K13" s="1">
        <f t="shared" si="4"/>
        <v>1.6372096858849681</v>
      </c>
      <c r="L13" s="1">
        <f t="shared" si="5"/>
        <v>2</v>
      </c>
    </row>
    <row r="14" spans="1:1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4.0310054412634999</v>
      </c>
      <c r="I14" s="1">
        <f t="shared" si="2"/>
        <v>1.666269952785429</v>
      </c>
      <c r="J14" s="1">
        <f t="shared" si="3"/>
        <v>3.0624409257062339</v>
      </c>
      <c r="K14" s="1">
        <f t="shared" si="4"/>
        <v>1.666269952785429</v>
      </c>
      <c r="L14" s="1">
        <f t="shared" si="5"/>
        <v>2</v>
      </c>
    </row>
    <row r="15" spans="1:1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3.9599953291678043</v>
      </c>
      <c r="I15" s="1">
        <f t="shared" si="2"/>
        <v>1.842223897600096</v>
      </c>
      <c r="J15" s="1">
        <f t="shared" si="3"/>
        <v>2.596373070090781</v>
      </c>
      <c r="K15" s="1">
        <f t="shared" si="4"/>
        <v>1.842223897600096</v>
      </c>
      <c r="L15" s="1">
        <f t="shared" si="5"/>
        <v>2</v>
      </c>
    </row>
    <row r="16" spans="1:1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3.9599953291678043</v>
      </c>
      <c r="I16" s="1">
        <f t="shared" si="2"/>
        <v>1.842223897600096</v>
      </c>
      <c r="J16" s="1">
        <f t="shared" si="3"/>
        <v>2.596373070090781</v>
      </c>
      <c r="K16" s="1">
        <f t="shared" si="4"/>
        <v>1.842223897600096</v>
      </c>
      <c r="L16" s="1">
        <f t="shared" si="5"/>
        <v>2</v>
      </c>
    </row>
    <row r="17" spans="1:1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4.0310054412634999</v>
      </c>
      <c r="I17" s="1">
        <f t="shared" si="2"/>
        <v>1.666269952785429</v>
      </c>
      <c r="J17" s="1">
        <f t="shared" si="3"/>
        <v>3.0624409257062339</v>
      </c>
      <c r="K17" s="1">
        <f t="shared" si="4"/>
        <v>1.666269952785429</v>
      </c>
      <c r="L17" s="1">
        <f t="shared" si="5"/>
        <v>2</v>
      </c>
    </row>
    <row r="18" spans="1:1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4.0310054412634999</v>
      </c>
      <c r="I18" s="1">
        <f>SQRT((($C18-$C$3)^2)+(($D18-$D$3)^2)+(($E18-$E$3)^2)+(($F18-$F$3)^2)+(($G18-$G$3)^2))</f>
        <v>1.666269952785429</v>
      </c>
      <c r="J18" s="1">
        <f t="shared" si="3"/>
        <v>3.0624409257062339</v>
      </c>
      <c r="K18" s="1">
        <f t="shared" si="4"/>
        <v>1.666269952785429</v>
      </c>
      <c r="L18" s="1">
        <f t="shared" si="5"/>
        <v>2</v>
      </c>
    </row>
    <row r="19" spans="1:1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3.9647786803017153</v>
      </c>
      <c r="I19" s="1">
        <f t="shared" si="2"/>
        <v>1.851428877620982</v>
      </c>
      <c r="J19" s="1">
        <f t="shared" si="3"/>
        <v>2.6563829750992185</v>
      </c>
      <c r="K19" s="1">
        <f t="shared" si="4"/>
        <v>1.851428877620982</v>
      </c>
      <c r="L19" s="1">
        <f t="shared" si="5"/>
        <v>2</v>
      </c>
    </row>
    <row r="20" spans="1:1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3.957998111866964</v>
      </c>
      <c r="I20" s="1">
        <f t="shared" si="2"/>
        <v>1.8400513277865074</v>
      </c>
      <c r="J20" s="1">
        <f t="shared" si="3"/>
        <v>2.4840930611561096</v>
      </c>
      <c r="K20" s="1">
        <f t="shared" si="4"/>
        <v>1.8400513277865074</v>
      </c>
      <c r="L20" s="1">
        <f t="shared" si="5"/>
        <v>2</v>
      </c>
    </row>
    <row r="21" spans="1:1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3.9647786803017153</v>
      </c>
      <c r="I21" s="1">
        <f t="shared" si="2"/>
        <v>1.851428877620982</v>
      </c>
      <c r="J21" s="1">
        <f t="shared" si="3"/>
        <v>2.6563829750992185</v>
      </c>
      <c r="K21" s="1">
        <f t="shared" si="4"/>
        <v>1.851428877620982</v>
      </c>
      <c r="L21" s="1">
        <f t="shared" si="5"/>
        <v>2</v>
      </c>
    </row>
    <row r="22" spans="1:1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4.0614959132741291</v>
      </c>
      <c r="I22" s="1">
        <f t="shared" si="2"/>
        <v>1.7499873015412297</v>
      </c>
      <c r="J22" s="1">
        <f t="shared" si="3"/>
        <v>2.1942268296514365</v>
      </c>
      <c r="K22" s="1">
        <f t="shared" si="4"/>
        <v>1.7499873015412297</v>
      </c>
      <c r="L22" s="1">
        <f t="shared" si="5"/>
        <v>2</v>
      </c>
    </row>
    <row r="23" spans="1:1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3.9739184847339151</v>
      </c>
      <c r="I23" s="1">
        <f t="shared" si="2"/>
        <v>1.8771757746382964</v>
      </c>
      <c r="J23" s="1">
        <f t="shared" si="3"/>
        <v>2.3377480964746584</v>
      </c>
      <c r="K23" s="1">
        <f t="shared" si="4"/>
        <v>1.8771757746382964</v>
      </c>
      <c r="L23" s="1">
        <f t="shared" si="5"/>
        <v>2</v>
      </c>
    </row>
    <row r="24" spans="1:1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3.9785974193973783</v>
      </c>
      <c r="I24" s="1">
        <f t="shared" si="2"/>
        <v>1.8771757746382967</v>
      </c>
      <c r="J24" s="1">
        <f t="shared" si="3"/>
        <v>3.0258058340183669</v>
      </c>
      <c r="K24" s="1">
        <f t="shared" si="4"/>
        <v>1.8771757746382967</v>
      </c>
      <c r="L24" s="1">
        <f t="shared" si="5"/>
        <v>2</v>
      </c>
    </row>
    <row r="25" spans="1:1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4.017366976719388</v>
      </c>
      <c r="I25" s="1">
        <f t="shared" si="2"/>
        <v>1.6372096858849681</v>
      </c>
      <c r="J25" s="1">
        <f t="shared" si="3"/>
        <v>2.6980389153342181</v>
      </c>
      <c r="K25" s="1">
        <f t="shared" si="4"/>
        <v>1.6372096858849681</v>
      </c>
      <c r="L25" s="1">
        <f t="shared" si="5"/>
        <v>2</v>
      </c>
    </row>
    <row r="26" spans="1:1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4.0310054412634999</v>
      </c>
      <c r="I26" s="1">
        <f t="shared" si="2"/>
        <v>1.666269952785429</v>
      </c>
      <c r="J26" s="1">
        <f t="shared" si="3"/>
        <v>3.0624409257062339</v>
      </c>
      <c r="K26" s="1">
        <f t="shared" si="4"/>
        <v>1.666269952785429</v>
      </c>
      <c r="L26" s="1">
        <f t="shared" si="5"/>
        <v>2</v>
      </c>
    </row>
    <row r="27" spans="1:1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3.9785974193973783</v>
      </c>
      <c r="I27" s="1">
        <f t="shared" si="2"/>
        <v>1.8771757746382967</v>
      </c>
      <c r="J27" s="1">
        <f t="shared" si="3"/>
        <v>3.0258058340183669</v>
      </c>
      <c r="K27" s="1">
        <f t="shared" si="4"/>
        <v>1.8771757746382967</v>
      </c>
      <c r="L27" s="1">
        <f t="shared" si="5"/>
        <v>2</v>
      </c>
    </row>
    <row r="28" spans="1:1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3.9785974193973783</v>
      </c>
      <c r="I28" s="1">
        <f t="shared" si="2"/>
        <v>1.8771757746382967</v>
      </c>
      <c r="J28" s="1">
        <f t="shared" si="3"/>
        <v>3.0258058340183669</v>
      </c>
      <c r="K28" s="1">
        <f t="shared" si="4"/>
        <v>1.8771757746382967</v>
      </c>
      <c r="L28" s="1">
        <f t="shared" si="5"/>
        <v>2</v>
      </c>
    </row>
    <row r="29" spans="1:1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4.0310054412634999</v>
      </c>
      <c r="I29" s="1">
        <f t="shared" si="2"/>
        <v>1.666269952785429</v>
      </c>
      <c r="J29" s="1">
        <f t="shared" si="3"/>
        <v>3.0624409257062339</v>
      </c>
      <c r="K29" s="1">
        <f t="shared" si="4"/>
        <v>1.666269952785429</v>
      </c>
      <c r="L29" s="1">
        <f t="shared" si="5"/>
        <v>2</v>
      </c>
    </row>
    <row r="30" spans="1:1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4.0977793455932154</v>
      </c>
      <c r="I30" s="1">
        <f t="shared" si="2"/>
        <v>2.1311473175003384</v>
      </c>
      <c r="J30" s="1">
        <f t="shared" si="3"/>
        <v>1.8437499799750088</v>
      </c>
      <c r="K30" s="1">
        <f t="shared" si="4"/>
        <v>1.8437499799750088</v>
      </c>
      <c r="L30" s="1">
        <f t="shared" si="5"/>
        <v>3</v>
      </c>
    </row>
    <row r="31" spans="1:1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4.0310054412634999</v>
      </c>
      <c r="I31" s="1">
        <f t="shared" si="2"/>
        <v>1.666269952785429</v>
      </c>
      <c r="J31" s="1">
        <f t="shared" si="3"/>
        <v>3.0624409257062339</v>
      </c>
      <c r="K31" s="1">
        <f t="shared" si="4"/>
        <v>1.666269952785429</v>
      </c>
      <c r="L31" s="1">
        <f t="shared" si="5"/>
        <v>2</v>
      </c>
    </row>
    <row r="32" spans="1:1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4.0310054412634999</v>
      </c>
      <c r="I32" s="1">
        <f t="shared" si="2"/>
        <v>1.666269952785429</v>
      </c>
      <c r="J32" s="1">
        <f t="shared" si="3"/>
        <v>3.0624409257062339</v>
      </c>
      <c r="K32" s="1">
        <f t="shared" si="4"/>
        <v>1.666269952785429</v>
      </c>
      <c r="L32" s="1">
        <f t="shared" si="5"/>
        <v>2</v>
      </c>
    </row>
    <row r="33" spans="1:1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3.9647786803017153</v>
      </c>
      <c r="I33" s="1">
        <f t="shared" si="2"/>
        <v>1.851428877620982</v>
      </c>
      <c r="J33" s="1">
        <f t="shared" si="3"/>
        <v>2.6563829750992185</v>
      </c>
      <c r="K33" s="1">
        <f t="shared" si="4"/>
        <v>1.851428877620982</v>
      </c>
      <c r="L33" s="1">
        <f t="shared" si="5"/>
        <v>2</v>
      </c>
    </row>
    <row r="34" spans="1:1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4.0610378135779399</v>
      </c>
      <c r="I34" s="1">
        <f t="shared" si="2"/>
        <v>1.7499873015412297</v>
      </c>
      <c r="J34" s="1">
        <f t="shared" si="3"/>
        <v>2.5634260510287064</v>
      </c>
      <c r="K34" s="1">
        <f t="shared" si="4"/>
        <v>1.7499873015412297</v>
      </c>
      <c r="L34" s="1">
        <f t="shared" si="5"/>
        <v>2</v>
      </c>
    </row>
    <row r="35" spans="1:1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3.1258755398690714</v>
      </c>
      <c r="I35" s="1">
        <f t="shared" si="2"/>
        <v>1.1086578472289013</v>
      </c>
      <c r="J35" s="1">
        <f t="shared" si="3"/>
        <v>2.3231960906506295</v>
      </c>
      <c r="K35" s="1">
        <f t="shared" si="4"/>
        <v>1.1086578472289013</v>
      </c>
      <c r="L35" s="1">
        <f t="shared" si="5"/>
        <v>2</v>
      </c>
    </row>
    <row r="36" spans="1:1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3.1782590279729077</v>
      </c>
      <c r="I36" s="1">
        <f t="shared" si="2"/>
        <v>1.2542416921081125</v>
      </c>
      <c r="J36" s="1">
        <f t="shared" si="3"/>
        <v>1.933419158080254</v>
      </c>
      <c r="K36" s="1">
        <f t="shared" si="4"/>
        <v>1.2542416921081125</v>
      </c>
      <c r="L36" s="1">
        <f t="shared" si="5"/>
        <v>2</v>
      </c>
    </row>
    <row r="37" spans="1:1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3.0179972155516213</v>
      </c>
      <c r="I37" s="1">
        <f t="shared" si="2"/>
        <v>1.3001752018691772</v>
      </c>
      <c r="J37" s="1">
        <f t="shared" si="3"/>
        <v>2.8251704199395342</v>
      </c>
      <c r="K37" s="1">
        <f t="shared" si="4"/>
        <v>1.3001752018691772</v>
      </c>
      <c r="L37" s="1">
        <f t="shared" si="5"/>
        <v>2</v>
      </c>
    </row>
    <row r="38" spans="1:1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3.1258755398690714</v>
      </c>
      <c r="I38" s="1">
        <f t="shared" si="2"/>
        <v>1.1086578472289013</v>
      </c>
      <c r="J38" s="1">
        <f t="shared" si="3"/>
        <v>2.3231960906506295</v>
      </c>
      <c r="K38" s="1">
        <f t="shared" si="4"/>
        <v>1.1086578472289013</v>
      </c>
      <c r="L38" s="1">
        <f t="shared" si="5"/>
        <v>2</v>
      </c>
    </row>
    <row r="39" spans="1:1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3.0118263380798962</v>
      </c>
      <c r="I39" s="1">
        <f t="shared" si="2"/>
        <v>1.300175201869177</v>
      </c>
      <c r="J39" s="1">
        <f t="shared" si="3"/>
        <v>2.0715098645897458</v>
      </c>
      <c r="K39" s="1">
        <f t="shared" si="4"/>
        <v>1.300175201869177</v>
      </c>
      <c r="L39" s="1">
        <f t="shared" si="5"/>
        <v>2</v>
      </c>
    </row>
    <row r="40" spans="1:1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3.0627439031582697</v>
      </c>
      <c r="I40" s="1">
        <f t="shared" si="2"/>
        <v>0.90173289960066449</v>
      </c>
      <c r="J40" s="1">
        <f t="shared" si="3"/>
        <v>2.4063008028663493</v>
      </c>
      <c r="K40" s="1">
        <f t="shared" si="4"/>
        <v>0.90173289960066449</v>
      </c>
      <c r="L40" s="1">
        <f t="shared" si="5"/>
        <v>2</v>
      </c>
    </row>
    <row r="41" spans="1:1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3.1258755398690714</v>
      </c>
      <c r="I41" s="1">
        <f t="shared" si="2"/>
        <v>1.1086578472289013</v>
      </c>
      <c r="J41" s="1">
        <f t="shared" si="3"/>
        <v>2.3231960906506295</v>
      </c>
      <c r="K41" s="1">
        <f t="shared" si="4"/>
        <v>1.1086578472289013</v>
      </c>
      <c r="L41" s="1">
        <f t="shared" si="5"/>
        <v>2</v>
      </c>
    </row>
    <row r="42" spans="1:1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3.1258755398690714</v>
      </c>
      <c r="I42" s="1">
        <f t="shared" si="2"/>
        <v>1.1086578472289013</v>
      </c>
      <c r="J42" s="1">
        <f t="shared" si="3"/>
        <v>2.3231960906506295</v>
      </c>
      <c r="K42" s="1">
        <f t="shared" si="4"/>
        <v>1.1086578472289013</v>
      </c>
      <c r="L42" s="1">
        <f t="shared" si="5"/>
        <v>2</v>
      </c>
    </row>
    <row r="43" spans="1:1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3.0689260651044266</v>
      </c>
      <c r="I43" s="1">
        <f t="shared" si="2"/>
        <v>0.92039242838162361</v>
      </c>
      <c r="J43" s="1">
        <f t="shared" si="3"/>
        <v>2.4709311898916946</v>
      </c>
      <c r="K43" s="1">
        <f t="shared" si="4"/>
        <v>0.92039242838162361</v>
      </c>
      <c r="L43" s="1">
        <f t="shared" si="5"/>
        <v>2</v>
      </c>
    </row>
    <row r="44" spans="1:1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3.0867579488741588</v>
      </c>
      <c r="I44" s="1">
        <f t="shared" si="2"/>
        <v>0.97114479982246837</v>
      </c>
      <c r="J44" s="1">
        <f t="shared" si="3"/>
        <v>2.8643727725214454</v>
      </c>
      <c r="K44" s="1">
        <f t="shared" si="4"/>
        <v>0.97114479982246837</v>
      </c>
      <c r="L44" s="1">
        <f t="shared" si="5"/>
        <v>2</v>
      </c>
    </row>
    <row r="45" spans="1:1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3.0807248063746657</v>
      </c>
      <c r="I45" s="1">
        <f t="shared" si="2"/>
        <v>0.97114479982246826</v>
      </c>
      <c r="J45" s="1">
        <f t="shared" si="3"/>
        <v>2.1246638786766949</v>
      </c>
      <c r="K45" s="1">
        <f t="shared" si="4"/>
        <v>0.97114479982246826</v>
      </c>
      <c r="L45" s="1">
        <f t="shared" si="5"/>
        <v>2</v>
      </c>
    </row>
    <row r="46" spans="1:1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2.9997566153301292</v>
      </c>
      <c r="I46" s="1">
        <f t="shared" si="2"/>
        <v>1.2627175280147003</v>
      </c>
      <c r="J46" s="1">
        <f t="shared" si="3"/>
        <v>2.425377798801398</v>
      </c>
      <c r="K46" s="1">
        <f t="shared" si="4"/>
        <v>1.2627175280147003</v>
      </c>
      <c r="L46" s="1">
        <f t="shared" si="5"/>
        <v>2</v>
      </c>
    </row>
    <row r="47" spans="1:1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3.1406457982852252</v>
      </c>
      <c r="I47" s="1">
        <f t="shared" si="2"/>
        <v>1.5831789398408365</v>
      </c>
      <c r="J47" s="1">
        <f t="shared" si="3"/>
        <v>1.8492833128719193</v>
      </c>
      <c r="K47" s="1">
        <f t="shared" si="4"/>
        <v>1.5831789398408365</v>
      </c>
      <c r="L47" s="1">
        <f t="shared" si="5"/>
        <v>2</v>
      </c>
    </row>
    <row r="48" spans="1:1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3.0118263380798962</v>
      </c>
      <c r="I48" s="1">
        <f t="shared" si="2"/>
        <v>1.300175201869177</v>
      </c>
      <c r="J48" s="1">
        <f t="shared" si="3"/>
        <v>2.0715098645897458</v>
      </c>
      <c r="K48" s="1">
        <f t="shared" si="4"/>
        <v>1.300175201869177</v>
      </c>
      <c r="L48" s="1">
        <f t="shared" si="5"/>
        <v>2</v>
      </c>
    </row>
    <row r="49" spans="1:1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3.4654682199920708</v>
      </c>
      <c r="I49" s="1">
        <f t="shared" si="2"/>
        <v>2.1625114000984027</v>
      </c>
      <c r="J49" s="1">
        <f t="shared" si="3"/>
        <v>1.0322310522259948</v>
      </c>
      <c r="K49" s="1">
        <f t="shared" si="4"/>
        <v>1.0322310522259948</v>
      </c>
      <c r="L49" s="1">
        <f t="shared" si="5"/>
        <v>3</v>
      </c>
    </row>
    <row r="50" spans="1:1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3.1406457982852252</v>
      </c>
      <c r="I50" s="1">
        <f t="shared" si="2"/>
        <v>1.5831789398408365</v>
      </c>
      <c r="J50" s="1">
        <f t="shared" si="3"/>
        <v>1.8492833128719193</v>
      </c>
      <c r="K50" s="1">
        <f t="shared" si="4"/>
        <v>1.5831789398408365</v>
      </c>
      <c r="L50" s="1">
        <f t="shared" si="5"/>
        <v>2</v>
      </c>
    </row>
    <row r="51" spans="1:1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3.0627439031582697</v>
      </c>
      <c r="I51" s="1">
        <f t="shared" si="2"/>
        <v>0.90173289960066449</v>
      </c>
      <c r="J51" s="1">
        <f t="shared" si="3"/>
        <v>2.4063008028663493</v>
      </c>
      <c r="K51" s="1">
        <f t="shared" si="4"/>
        <v>0.90173289960066449</v>
      </c>
      <c r="L51" s="1">
        <f t="shared" si="5"/>
        <v>2</v>
      </c>
    </row>
    <row r="52" spans="1:1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3.0867579488741588</v>
      </c>
      <c r="I52" s="1">
        <f t="shared" si="2"/>
        <v>0.97114479982246837</v>
      </c>
      <c r="J52" s="1">
        <f t="shared" si="3"/>
        <v>2.8643727725214454</v>
      </c>
      <c r="K52" s="1">
        <f t="shared" si="4"/>
        <v>0.97114479982246837</v>
      </c>
      <c r="L52" s="1">
        <f t="shared" si="5"/>
        <v>2</v>
      </c>
    </row>
    <row r="53" spans="1:1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3.1406457982852252</v>
      </c>
      <c r="I53" s="1">
        <f t="shared" si="2"/>
        <v>1.5831789398408365</v>
      </c>
      <c r="J53" s="1">
        <f t="shared" si="3"/>
        <v>1.8492833128719193</v>
      </c>
      <c r="K53" s="1">
        <f t="shared" si="4"/>
        <v>1.5831789398408365</v>
      </c>
      <c r="L53" s="1">
        <f t="shared" si="5"/>
        <v>2</v>
      </c>
    </row>
    <row r="54" spans="1:1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2.1673432954931711</v>
      </c>
      <c r="I54" s="1">
        <f t="shared" si="2"/>
        <v>1.0068708402217681</v>
      </c>
      <c r="J54" s="1">
        <f t="shared" si="3"/>
        <v>2.6327908959317914</v>
      </c>
      <c r="K54" s="1">
        <f t="shared" si="4"/>
        <v>1.0068708402217681</v>
      </c>
      <c r="L54" s="1">
        <f t="shared" si="5"/>
        <v>2</v>
      </c>
    </row>
    <row r="55" spans="1:1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2.0946066362253313</v>
      </c>
      <c r="I55" s="1">
        <f t="shared" si="2"/>
        <v>1.3627627167714205</v>
      </c>
      <c r="J55" s="1">
        <f t="shared" si="3"/>
        <v>2.9677727100003906</v>
      </c>
      <c r="K55" s="1">
        <f t="shared" si="4"/>
        <v>1.3627627167714205</v>
      </c>
      <c r="L55" s="1">
        <f t="shared" si="5"/>
        <v>2</v>
      </c>
    </row>
    <row r="56" spans="1:1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2.0946066362253313</v>
      </c>
      <c r="I56" s="1">
        <f t="shared" si="2"/>
        <v>1.3627627167714205</v>
      </c>
      <c r="J56" s="1">
        <f t="shared" si="3"/>
        <v>2.9677727100003906</v>
      </c>
      <c r="K56" s="1">
        <f t="shared" si="4"/>
        <v>1.3627627167714205</v>
      </c>
      <c r="L56" s="1">
        <f t="shared" si="5"/>
        <v>2</v>
      </c>
    </row>
    <row r="57" spans="1:1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2.5426007985887824</v>
      </c>
      <c r="I57" s="1">
        <f t="shared" si="2"/>
        <v>1.6845738003687725</v>
      </c>
      <c r="J57" s="1">
        <f t="shared" si="3"/>
        <v>2.3867981257336512</v>
      </c>
      <c r="K57" s="1">
        <f t="shared" si="4"/>
        <v>1.6845738003687725</v>
      </c>
      <c r="L57" s="1">
        <f t="shared" si="5"/>
        <v>2</v>
      </c>
    </row>
    <row r="58" spans="1:1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2.0590537977222807</v>
      </c>
      <c r="I58" s="1">
        <f t="shared" si="2"/>
        <v>1.3142002215120123</v>
      </c>
      <c r="J58" s="1">
        <f t="shared" si="3"/>
        <v>2.5285029231021481</v>
      </c>
      <c r="K58" s="1">
        <f t="shared" si="4"/>
        <v>1.3142002215120123</v>
      </c>
      <c r="L58" s="1">
        <f t="shared" si="5"/>
        <v>2</v>
      </c>
    </row>
    <row r="59" spans="1:1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2.2677578789916044</v>
      </c>
      <c r="I59" s="1">
        <f t="shared" si="2"/>
        <v>1.634968569184809</v>
      </c>
      <c r="J59" s="1">
        <f t="shared" si="3"/>
        <v>2.0605668462314637</v>
      </c>
      <c r="K59" s="1">
        <f t="shared" si="4"/>
        <v>1.634968569184809</v>
      </c>
      <c r="L59" s="1">
        <f t="shared" si="5"/>
        <v>2</v>
      </c>
    </row>
    <row r="60" spans="1:1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2.5974818275091218</v>
      </c>
      <c r="I60" s="1">
        <f t="shared" si="2"/>
        <v>1.7674243658184892</v>
      </c>
      <c r="J60" s="1">
        <f t="shared" si="3"/>
        <v>2.3877998035223396</v>
      </c>
      <c r="K60" s="1">
        <f t="shared" si="4"/>
        <v>1.7674243658184892</v>
      </c>
      <c r="L60" s="1">
        <f t="shared" si="5"/>
        <v>2</v>
      </c>
    </row>
    <row r="61" spans="1:1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2.1518364752771415</v>
      </c>
      <c r="I61" s="1">
        <f t="shared" si="2"/>
        <v>1.463940648462984</v>
      </c>
      <c r="J61" s="1">
        <f t="shared" si="3"/>
        <v>2.4495476222917643</v>
      </c>
      <c r="K61" s="1">
        <f t="shared" si="4"/>
        <v>1.463940648462984</v>
      </c>
      <c r="L61" s="1">
        <f t="shared" si="5"/>
        <v>2</v>
      </c>
    </row>
    <row r="62" spans="1:1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2.1925201030730967</v>
      </c>
      <c r="I62" s="1">
        <f t="shared" si="2"/>
        <v>1.0534651816215328</v>
      </c>
      <c r="J62" s="1">
        <f t="shared" si="3"/>
        <v>3.0051153615932837</v>
      </c>
      <c r="K62" s="1">
        <f t="shared" si="4"/>
        <v>1.0534651816215328</v>
      </c>
      <c r="L62" s="1">
        <f t="shared" si="5"/>
        <v>2</v>
      </c>
    </row>
    <row r="63" spans="1:1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2.1925201030730967</v>
      </c>
      <c r="I63" s="1">
        <f t="shared" si="2"/>
        <v>1.0534651816215328</v>
      </c>
      <c r="J63" s="1">
        <f t="shared" si="3"/>
        <v>3.0051153615932837</v>
      </c>
      <c r="K63" s="1">
        <f t="shared" si="4"/>
        <v>1.0534651816215328</v>
      </c>
      <c r="L63" s="1">
        <f t="shared" si="5"/>
        <v>2</v>
      </c>
    </row>
    <row r="64" spans="1:1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2.1549143904774133</v>
      </c>
      <c r="I64" s="1">
        <f t="shared" si="2"/>
        <v>0.98579353258625557</v>
      </c>
      <c r="J64" s="1">
        <f t="shared" si="3"/>
        <v>2.4588484556369634</v>
      </c>
      <c r="K64" s="1">
        <f t="shared" si="4"/>
        <v>0.98579353258625557</v>
      </c>
      <c r="L64" s="1">
        <f t="shared" si="5"/>
        <v>2</v>
      </c>
    </row>
    <row r="65" spans="1:1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2.1549143904774133</v>
      </c>
      <c r="I65" s="1">
        <f t="shared" si="2"/>
        <v>0.98579353258625557</v>
      </c>
      <c r="J65" s="1">
        <f t="shared" si="3"/>
        <v>2.4588484556369634</v>
      </c>
      <c r="K65" s="1">
        <f t="shared" si="4"/>
        <v>0.98579353258625557</v>
      </c>
      <c r="L65" s="1">
        <f t="shared" si="5"/>
        <v>2</v>
      </c>
    </row>
    <row r="66" spans="1:1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2.1585805483639038</v>
      </c>
      <c r="I66" s="1">
        <f t="shared" si="2"/>
        <v>0.98984286070511673</v>
      </c>
      <c r="J66" s="1">
        <f t="shared" si="3"/>
        <v>2.5722306487554683</v>
      </c>
      <c r="K66" s="1">
        <f t="shared" si="4"/>
        <v>0.98984286070511673</v>
      </c>
      <c r="L66" s="1">
        <f t="shared" si="5"/>
        <v>2</v>
      </c>
    </row>
    <row r="67" spans="1:1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2.0552101080975089</v>
      </c>
      <c r="I67" s="1">
        <f t="shared" si="2"/>
        <v>1.311153012513117</v>
      </c>
      <c r="J67" s="1">
        <f t="shared" si="3"/>
        <v>2.4130669799090558</v>
      </c>
      <c r="K67" s="1">
        <f t="shared" si="4"/>
        <v>1.311153012513117</v>
      </c>
      <c r="L67" s="1">
        <f t="shared" si="5"/>
        <v>2</v>
      </c>
    </row>
    <row r="68" spans="1:1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2.1673432954931711</v>
      </c>
      <c r="I68" s="1">
        <f t="shared" si="2"/>
        <v>1.0068708402217681</v>
      </c>
      <c r="J68" s="1">
        <f t="shared" si="3"/>
        <v>2.6327908959317914</v>
      </c>
      <c r="K68" s="1">
        <f t="shared" si="4"/>
        <v>1.0068708402217681</v>
      </c>
      <c r="L68" s="1">
        <f t="shared" si="5"/>
        <v>2</v>
      </c>
    </row>
    <row r="69" spans="1:1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2.1673432954931711</v>
      </c>
      <c r="I69" s="1">
        <f t="shared" si="2"/>
        <v>1.0068708402217681</v>
      </c>
      <c r="J69" s="1">
        <f t="shared" si="3"/>
        <v>2.6327908959317914</v>
      </c>
      <c r="K69" s="1">
        <f t="shared" si="4"/>
        <v>1.0068708402217681</v>
      </c>
      <c r="L69" s="1">
        <f t="shared" si="5"/>
        <v>2</v>
      </c>
    </row>
    <row r="70" spans="1:1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2.0946066362253313</v>
      </c>
      <c r="I70" s="1">
        <f t="shared" si="2"/>
        <v>1.3627627167714205</v>
      </c>
      <c r="J70" s="1">
        <f t="shared" si="3"/>
        <v>2.9677727100003906</v>
      </c>
      <c r="K70" s="1">
        <f t="shared" si="4"/>
        <v>1.3627627167714205</v>
      </c>
      <c r="L70" s="1">
        <f t="shared" si="5"/>
        <v>2</v>
      </c>
    </row>
    <row r="71" spans="1:1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2.1925201030730967</v>
      </c>
      <c r="I71" s="1">
        <f t="shared" si="2"/>
        <v>1.0534651816215328</v>
      </c>
      <c r="J71" s="1">
        <f t="shared" si="3"/>
        <v>3.0051153615932837</v>
      </c>
      <c r="K71" s="1">
        <f t="shared" si="4"/>
        <v>1.0534651816215328</v>
      </c>
      <c r="L71" s="1">
        <f t="shared" si="5"/>
        <v>2</v>
      </c>
    </row>
    <row r="72" spans="1:1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2.1925201030730967</v>
      </c>
      <c r="I72" s="1">
        <f t="shared" si="2"/>
        <v>1.0534651816215328</v>
      </c>
      <c r="J72" s="1">
        <f t="shared" si="3"/>
        <v>3.0051153615932837</v>
      </c>
      <c r="K72" s="1">
        <f t="shared" si="4"/>
        <v>1.0534651816215328</v>
      </c>
      <c r="L72" s="1">
        <f t="shared" si="5"/>
        <v>2</v>
      </c>
    </row>
    <row r="73" spans="1:1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3.1504049547834083</v>
      </c>
      <c r="I73" s="1">
        <f t="shared" si="2"/>
        <v>2.7395478134579472</v>
      </c>
      <c r="J73" s="1">
        <f t="shared" si="3"/>
        <v>1.3064475852500439</v>
      </c>
      <c r="K73" s="1">
        <f t="shared" si="4"/>
        <v>1.3064475852500439</v>
      </c>
      <c r="L73" s="1">
        <f t="shared" si="5"/>
        <v>3</v>
      </c>
    </row>
    <row r="74" spans="1:1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3.4370322829452111</v>
      </c>
      <c r="I74" s="1">
        <f t="shared" si="2"/>
        <v>3.0664510793786066</v>
      </c>
      <c r="J74" s="1">
        <f t="shared" si="3"/>
        <v>1.3721852096300304</v>
      </c>
      <c r="K74" s="1">
        <f t="shared" si="4"/>
        <v>1.3721852096300304</v>
      </c>
      <c r="L74" s="1">
        <f t="shared" si="5"/>
        <v>3</v>
      </c>
    </row>
    <row r="75" spans="1:1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2.0946066362253313</v>
      </c>
      <c r="I75" s="1">
        <f t="shared" ref="I75:I135" si="7">SQRT((($C75-$C$3)^2)+(($D75-$D$3)^2)+(($E75-$E$3)^2)+(($F75-$F$3)^2)+(($G75-$G$3)^2))</f>
        <v>1.3627627167714205</v>
      </c>
      <c r="J75" s="1">
        <f t="shared" ref="J75:J135" si="8">SQRT((($C75-$C$4)^2)+(($D75-$D$4)^2)+(($E75-$E$4)^2)+(($F75-$F$4)^2)+(($G75-$G$4)^2))</f>
        <v>2.9677727100003906</v>
      </c>
      <c r="K75" s="1">
        <f t="shared" ref="K75:K135" si="9">MIN(H75:J75)</f>
        <v>1.3627627167714205</v>
      </c>
      <c r="L75" s="1">
        <f t="shared" ref="L75:L135" si="10">IF(K75=J75, $J$9, IF(K75=I75, $I$9, IF(K75=H75, $H$9)))</f>
        <v>2</v>
      </c>
    </row>
    <row r="76" spans="1:1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2.1925201030730967</v>
      </c>
      <c r="I76" s="1">
        <f t="shared" si="7"/>
        <v>1.0534651816215328</v>
      </c>
      <c r="J76" s="1">
        <f t="shared" si="8"/>
        <v>3.0051153615932837</v>
      </c>
      <c r="K76" s="1">
        <f t="shared" si="9"/>
        <v>1.0534651816215328</v>
      </c>
      <c r="L76" s="1">
        <f t="shared" si="10"/>
        <v>2</v>
      </c>
    </row>
    <row r="77" spans="1:1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2.1925201030730967</v>
      </c>
      <c r="I77" s="1">
        <f t="shared" si="7"/>
        <v>1.0534651816215328</v>
      </c>
      <c r="J77" s="1">
        <f t="shared" si="8"/>
        <v>3.0051153615932837</v>
      </c>
      <c r="K77" s="1">
        <f t="shared" si="9"/>
        <v>1.0534651816215328</v>
      </c>
      <c r="L77" s="1">
        <f t="shared" si="10"/>
        <v>2</v>
      </c>
    </row>
    <row r="78" spans="1:1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2.5426007985887824</v>
      </c>
      <c r="I78" s="1">
        <f t="shared" si="7"/>
        <v>1.6845738003687725</v>
      </c>
      <c r="J78" s="1">
        <f t="shared" si="8"/>
        <v>2.3867981257336512</v>
      </c>
      <c r="K78" s="1">
        <f t="shared" si="9"/>
        <v>1.6845738003687725</v>
      </c>
      <c r="L78" s="1">
        <f t="shared" si="10"/>
        <v>2</v>
      </c>
    </row>
    <row r="79" spans="1:1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2.0946066362253313</v>
      </c>
      <c r="I79" s="1">
        <f t="shared" si="7"/>
        <v>1.3627627167714205</v>
      </c>
      <c r="J79" s="1">
        <f t="shared" si="8"/>
        <v>2.9677727100003906</v>
      </c>
      <c r="K79" s="1">
        <f t="shared" si="9"/>
        <v>1.3627627167714205</v>
      </c>
      <c r="L79" s="1">
        <f t="shared" si="10"/>
        <v>2</v>
      </c>
    </row>
    <row r="80" spans="1:1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2.3195689721008841</v>
      </c>
      <c r="I80" s="1">
        <f t="shared" si="7"/>
        <v>1.3190105719397736</v>
      </c>
      <c r="J80" s="1">
        <f t="shared" si="8"/>
        <v>2.1363980428172784</v>
      </c>
      <c r="K80" s="1">
        <f t="shared" si="9"/>
        <v>1.3190105719397736</v>
      </c>
      <c r="L80" s="1">
        <f t="shared" si="10"/>
        <v>2</v>
      </c>
    </row>
    <row r="81" spans="1:1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2.3584938498094425</v>
      </c>
      <c r="I81" s="1">
        <f t="shared" si="7"/>
        <v>1.3877279592517002</v>
      </c>
      <c r="J81" s="1">
        <f t="shared" si="8"/>
        <v>2.1139960279170702</v>
      </c>
      <c r="K81" s="1">
        <f t="shared" si="9"/>
        <v>1.3877279592517002</v>
      </c>
      <c r="L81" s="1">
        <f t="shared" si="10"/>
        <v>2</v>
      </c>
    </row>
    <row r="82" spans="1:1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2.0946066362253313</v>
      </c>
      <c r="I82" s="1">
        <f t="shared" si="7"/>
        <v>1.3627627167714205</v>
      </c>
      <c r="J82" s="1">
        <f t="shared" si="8"/>
        <v>2.9677727100003906</v>
      </c>
      <c r="K82" s="1">
        <f t="shared" si="9"/>
        <v>1.3627627167714205</v>
      </c>
      <c r="L82" s="1">
        <f t="shared" si="10"/>
        <v>2</v>
      </c>
    </row>
    <row r="83" spans="1:1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2.1585805483639038</v>
      </c>
      <c r="I83" s="1">
        <f t="shared" si="7"/>
        <v>0.98984286070511673</v>
      </c>
      <c r="J83" s="1">
        <f t="shared" si="8"/>
        <v>2.5722306487554683</v>
      </c>
      <c r="K83" s="1">
        <f t="shared" si="9"/>
        <v>0.98984286070511673</v>
      </c>
      <c r="L83" s="1">
        <f t="shared" si="10"/>
        <v>2</v>
      </c>
    </row>
    <row r="84" spans="1:1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1.4443732792535056</v>
      </c>
      <c r="I84" s="1">
        <f t="shared" si="7"/>
        <v>1.810098217101922</v>
      </c>
      <c r="J84" s="1">
        <f t="shared" si="8"/>
        <v>3.4433712104572272</v>
      </c>
      <c r="K84" s="1">
        <f t="shared" si="9"/>
        <v>1.4443732792535056</v>
      </c>
      <c r="L84" s="1">
        <f t="shared" si="10"/>
        <v>1</v>
      </c>
    </row>
    <row r="85" spans="1:1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1.2476695420264912</v>
      </c>
      <c r="I85" s="1">
        <f t="shared" si="7"/>
        <v>1.9818650026903673</v>
      </c>
      <c r="J85" s="1">
        <f t="shared" si="8"/>
        <v>3.0878198425365091</v>
      </c>
      <c r="K85" s="1">
        <f t="shared" si="9"/>
        <v>1.2476695420264912</v>
      </c>
      <c r="L85" s="1">
        <f t="shared" si="10"/>
        <v>1</v>
      </c>
    </row>
    <row r="86" spans="1:1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3.4096552690180357</v>
      </c>
      <c r="I86" s="1">
        <f t="shared" si="7"/>
        <v>3.5983962477130773</v>
      </c>
      <c r="J86" s="1">
        <f t="shared" si="8"/>
        <v>2.3270294717882041</v>
      </c>
      <c r="K86" s="1">
        <f t="shared" si="9"/>
        <v>2.3270294717882041</v>
      </c>
      <c r="L86" s="1">
        <f t="shared" si="10"/>
        <v>3</v>
      </c>
    </row>
    <row r="87" spans="1:1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1.3818357296636288</v>
      </c>
      <c r="I87" s="1">
        <f t="shared" si="7"/>
        <v>2.0760031042580089</v>
      </c>
      <c r="J87" s="1">
        <f t="shared" si="8"/>
        <v>2.9709208186010239</v>
      </c>
      <c r="K87" s="1">
        <f t="shared" si="9"/>
        <v>1.3818357296636288</v>
      </c>
      <c r="L87" s="1">
        <f t="shared" si="10"/>
        <v>1</v>
      </c>
    </row>
    <row r="88" spans="1:1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1.2476695420264912</v>
      </c>
      <c r="I88" s="1">
        <f t="shared" si="7"/>
        <v>1.9818650026903673</v>
      </c>
      <c r="J88" s="1">
        <f t="shared" si="8"/>
        <v>3.0878198425365091</v>
      </c>
      <c r="K88" s="1">
        <f t="shared" si="9"/>
        <v>1.2476695420264912</v>
      </c>
      <c r="L88" s="1">
        <f t="shared" si="10"/>
        <v>1</v>
      </c>
    </row>
    <row r="89" spans="1:1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1.2323848057146796</v>
      </c>
      <c r="I89" s="1">
        <f t="shared" si="7"/>
        <v>1.9732685800186678</v>
      </c>
      <c r="J89" s="1">
        <f t="shared" si="8"/>
        <v>3.0363487923257177</v>
      </c>
      <c r="K89" s="1">
        <f t="shared" si="9"/>
        <v>1.2323848057146796</v>
      </c>
      <c r="L89" s="1">
        <f t="shared" si="10"/>
        <v>1</v>
      </c>
    </row>
    <row r="90" spans="1:1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3.7598157095556592</v>
      </c>
      <c r="I90" s="1">
        <f t="shared" si="7"/>
        <v>4.079189734357656</v>
      </c>
      <c r="J90" s="1">
        <f t="shared" si="8"/>
        <v>2.4764676960395446</v>
      </c>
      <c r="K90" s="1">
        <f t="shared" si="9"/>
        <v>2.4764676960395446</v>
      </c>
      <c r="L90" s="1">
        <f t="shared" si="10"/>
        <v>3</v>
      </c>
    </row>
    <row r="91" spans="1:1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1.2909092640310005</v>
      </c>
      <c r="I91" s="1">
        <f t="shared" si="7"/>
        <v>2.005938406055602</v>
      </c>
      <c r="J91" s="1">
        <f t="shared" si="8"/>
        <v>3.4108300770845799</v>
      </c>
      <c r="K91" s="1">
        <f t="shared" si="9"/>
        <v>1.2909092640310005</v>
      </c>
      <c r="L91" s="1">
        <f t="shared" si="10"/>
        <v>1</v>
      </c>
    </row>
    <row r="92" spans="1:1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1.2476695420264912</v>
      </c>
      <c r="I92" s="1">
        <f t="shared" si="7"/>
        <v>1.9818650026903673</v>
      </c>
      <c r="J92" s="1">
        <f t="shared" si="8"/>
        <v>3.0878198425365091</v>
      </c>
      <c r="K92" s="1">
        <f t="shared" si="9"/>
        <v>1.2476695420264912</v>
      </c>
      <c r="L92" s="1">
        <f t="shared" si="10"/>
        <v>1</v>
      </c>
    </row>
    <row r="93" spans="1:1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1.3818357296636288</v>
      </c>
      <c r="I93" s="1">
        <f t="shared" si="7"/>
        <v>2.0760031042580089</v>
      </c>
      <c r="J93" s="1">
        <f t="shared" si="8"/>
        <v>2.9709208186010239</v>
      </c>
      <c r="K93" s="1">
        <f t="shared" si="9"/>
        <v>1.3818357296636288</v>
      </c>
      <c r="L93" s="1">
        <f t="shared" si="10"/>
        <v>1</v>
      </c>
    </row>
    <row r="94" spans="1:1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1.3923145302757109</v>
      </c>
      <c r="I94" s="1">
        <f t="shared" si="7"/>
        <v>1.7738251197780339</v>
      </c>
      <c r="J94" s="1">
        <f t="shared" si="8"/>
        <v>3.0728581918010329</v>
      </c>
      <c r="K94" s="1">
        <f t="shared" si="9"/>
        <v>1.3923145302757109</v>
      </c>
      <c r="L94" s="1">
        <f t="shared" si="10"/>
        <v>1</v>
      </c>
    </row>
    <row r="95" spans="1:1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1.4314345487991911</v>
      </c>
      <c r="I95" s="1">
        <f t="shared" si="7"/>
        <v>1.8100982171019218</v>
      </c>
      <c r="J95" s="1">
        <f t="shared" si="8"/>
        <v>2.8576862162240584</v>
      </c>
      <c r="K95" s="1">
        <f t="shared" si="9"/>
        <v>1.4314345487991911</v>
      </c>
      <c r="L95" s="1">
        <f t="shared" si="10"/>
        <v>1</v>
      </c>
    </row>
    <row r="96" spans="1:1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1.4314345487991911</v>
      </c>
      <c r="I96" s="1">
        <f t="shared" si="7"/>
        <v>1.8100982171019218</v>
      </c>
      <c r="J96" s="1">
        <f t="shared" si="8"/>
        <v>2.8576862162240584</v>
      </c>
      <c r="K96" s="1">
        <f t="shared" si="9"/>
        <v>1.4314345487991911</v>
      </c>
      <c r="L96" s="1">
        <f t="shared" si="10"/>
        <v>1</v>
      </c>
    </row>
    <row r="97" spans="1:1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1.4058615607381331</v>
      </c>
      <c r="I97" s="1">
        <f t="shared" si="7"/>
        <v>1.7833831768735391</v>
      </c>
      <c r="J97" s="1">
        <f t="shared" si="8"/>
        <v>3.1237277183235839</v>
      </c>
      <c r="K97" s="1">
        <f t="shared" si="9"/>
        <v>1.4058615607381331</v>
      </c>
      <c r="L97" s="1">
        <f t="shared" si="10"/>
        <v>1</v>
      </c>
    </row>
    <row r="98" spans="1:1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1.3923145302757109</v>
      </c>
      <c r="I98" s="1">
        <f t="shared" si="7"/>
        <v>1.7738251197780339</v>
      </c>
      <c r="J98" s="1">
        <f t="shared" si="8"/>
        <v>3.0728581918010329</v>
      </c>
      <c r="K98" s="1">
        <f t="shared" si="9"/>
        <v>1.3923145302757109</v>
      </c>
      <c r="L98" s="1">
        <f t="shared" si="10"/>
        <v>1</v>
      </c>
    </row>
    <row r="99" spans="1:1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4.1742210227257628</v>
      </c>
      <c r="I99" s="1">
        <f t="shared" si="7"/>
        <v>4.3324883791598969</v>
      </c>
      <c r="J99" s="1">
        <f t="shared" si="8"/>
        <v>2.7408069403571678</v>
      </c>
      <c r="K99" s="1">
        <f t="shared" si="9"/>
        <v>2.7408069403571678</v>
      </c>
      <c r="L99" s="1">
        <f t="shared" si="10"/>
        <v>3</v>
      </c>
    </row>
    <row r="100" spans="1:1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4.595035767510983</v>
      </c>
      <c r="I100" s="1">
        <f t="shared" si="7"/>
        <v>4.7407231047125666</v>
      </c>
      <c r="J100" s="1">
        <f t="shared" si="8"/>
        <v>3.0352746580050067</v>
      </c>
      <c r="K100" s="1">
        <f t="shared" si="9"/>
        <v>3.0352746580050067</v>
      </c>
      <c r="L100" s="1">
        <f t="shared" si="10"/>
        <v>3</v>
      </c>
    </row>
    <row r="101" spans="1:1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1.2476695420264912</v>
      </c>
      <c r="I101" s="1">
        <f t="shared" si="7"/>
        <v>1.9818650026903673</v>
      </c>
      <c r="J101" s="1">
        <f t="shared" si="8"/>
        <v>3.0878198425365091</v>
      </c>
      <c r="K101" s="1">
        <f t="shared" si="9"/>
        <v>1.2476695420264912</v>
      </c>
      <c r="L101" s="1">
        <f t="shared" si="10"/>
        <v>1</v>
      </c>
    </row>
    <row r="102" spans="1:1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1.2909092640310005</v>
      </c>
      <c r="I102" s="1">
        <f t="shared" si="7"/>
        <v>2.005938406055602</v>
      </c>
      <c r="J102" s="1">
        <f t="shared" si="8"/>
        <v>3.4108300770845799</v>
      </c>
      <c r="K102" s="1">
        <f t="shared" si="9"/>
        <v>1.2909092640310005</v>
      </c>
      <c r="L102" s="1">
        <f t="shared" si="10"/>
        <v>1</v>
      </c>
    </row>
    <row r="103" spans="1:1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4.8441938617092442</v>
      </c>
      <c r="I103" s="1">
        <f t="shared" si="7"/>
        <v>5.0991949255631415</v>
      </c>
      <c r="J103" s="1">
        <f t="shared" si="8"/>
        <v>3.226160200738915</v>
      </c>
      <c r="K103" s="1">
        <f t="shared" si="9"/>
        <v>3.226160200738915</v>
      </c>
      <c r="L103" s="1">
        <f t="shared" si="10"/>
        <v>3</v>
      </c>
    </row>
    <row r="104" spans="1:1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1.3923145302757109</v>
      </c>
      <c r="I104" s="1">
        <f t="shared" si="7"/>
        <v>1.7738251197780339</v>
      </c>
      <c r="J104" s="1">
        <f t="shared" si="8"/>
        <v>3.0728581918010329</v>
      </c>
      <c r="K104" s="1">
        <f t="shared" si="9"/>
        <v>1.3923145302757109</v>
      </c>
      <c r="L104" s="1">
        <f t="shared" si="10"/>
        <v>1</v>
      </c>
    </row>
    <row r="105" spans="1:1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2.8935260910503242</v>
      </c>
      <c r="I105" s="1">
        <f t="shared" si="7"/>
        <v>3.9676763420868335</v>
      </c>
      <c r="J105" s="1">
        <f t="shared" si="8"/>
        <v>3.8746473709909925</v>
      </c>
      <c r="K105" s="1">
        <f t="shared" si="9"/>
        <v>2.8935260910503242</v>
      </c>
      <c r="L105" s="1">
        <f t="shared" si="10"/>
        <v>1</v>
      </c>
    </row>
    <row r="106" spans="1:1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5.300695893985921</v>
      </c>
      <c r="I106" s="1">
        <f t="shared" si="7"/>
        <v>5.8626889924523731</v>
      </c>
      <c r="J106" s="1">
        <f t="shared" si="8"/>
        <v>4.2570990415454757</v>
      </c>
      <c r="K106" s="1">
        <f t="shared" si="9"/>
        <v>4.2570990415454757</v>
      </c>
      <c r="L106" s="1">
        <f t="shared" si="10"/>
        <v>3</v>
      </c>
    </row>
    <row r="107" spans="1:1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3.1810017776411899</v>
      </c>
      <c r="I107" s="1">
        <f t="shared" si="7"/>
        <v>4.1833545816193434</v>
      </c>
      <c r="J107" s="1">
        <f t="shared" si="8"/>
        <v>3.9908946460179031</v>
      </c>
      <c r="K107" s="1">
        <f t="shared" si="9"/>
        <v>3.1810017776411899</v>
      </c>
      <c r="L107" s="1">
        <f t="shared" si="10"/>
        <v>1</v>
      </c>
    </row>
    <row r="108" spans="1:1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5.8096495697511648</v>
      </c>
      <c r="I108" s="1">
        <f t="shared" si="7"/>
        <v>6.419848561730686</v>
      </c>
      <c r="J108" s="1">
        <f t="shared" si="8"/>
        <v>4.6292854258379057</v>
      </c>
      <c r="K108" s="1">
        <f t="shared" si="9"/>
        <v>4.6292854258379057</v>
      </c>
      <c r="L108" s="1">
        <f t="shared" si="10"/>
        <v>3</v>
      </c>
    </row>
    <row r="109" spans="1:1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0.97237672504175077</v>
      </c>
      <c r="I109" s="1">
        <f t="shared" si="7"/>
        <v>2.8618971951409358</v>
      </c>
      <c r="J109" s="1">
        <f t="shared" si="8"/>
        <v>4.0570739174023611</v>
      </c>
      <c r="K109" s="1">
        <f t="shared" si="9"/>
        <v>0.97237672504175077</v>
      </c>
      <c r="L109" s="1">
        <f t="shared" si="10"/>
        <v>1</v>
      </c>
    </row>
    <row r="110" spans="1:1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6.2273537799015459</v>
      </c>
      <c r="I110" s="1">
        <f t="shared" si="7"/>
        <v>6.7145455707904924</v>
      </c>
      <c r="J110" s="1">
        <f t="shared" si="8"/>
        <v>4.9547365206091269</v>
      </c>
      <c r="K110" s="1">
        <f t="shared" si="9"/>
        <v>4.9547365206091269</v>
      </c>
      <c r="L110" s="1">
        <f t="shared" si="10"/>
        <v>3</v>
      </c>
    </row>
    <row r="111" spans="1:1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4.2366265905193892</v>
      </c>
      <c r="I111" s="1">
        <f t="shared" si="7"/>
        <v>5.0382988751716136</v>
      </c>
      <c r="J111" s="1">
        <f t="shared" si="8"/>
        <v>3.7578122783200105</v>
      </c>
      <c r="K111" s="1">
        <f t="shared" si="9"/>
        <v>3.7578122783200105</v>
      </c>
      <c r="L111" s="1">
        <f t="shared" si="10"/>
        <v>3</v>
      </c>
    </row>
    <row r="112" spans="1:1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0.89322006067836912</v>
      </c>
      <c r="I112" s="1">
        <f t="shared" si="7"/>
        <v>2.8390941434823107</v>
      </c>
      <c r="J112" s="1">
        <f t="shared" si="8"/>
        <v>3.7477327739821025</v>
      </c>
      <c r="K112" s="1">
        <f t="shared" si="9"/>
        <v>0.89322006067836912</v>
      </c>
      <c r="L112" s="1">
        <f t="shared" si="10"/>
        <v>1</v>
      </c>
    </row>
    <row r="113" spans="1:1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1.1684536521674216</v>
      </c>
      <c r="I113" s="1">
        <f t="shared" si="7"/>
        <v>2.7282086104662566</v>
      </c>
      <c r="J113" s="1">
        <f t="shared" si="8"/>
        <v>4.0844696411562929</v>
      </c>
      <c r="K113" s="1">
        <f t="shared" si="9"/>
        <v>1.1684536521674216</v>
      </c>
      <c r="L113" s="1">
        <f t="shared" si="10"/>
        <v>1</v>
      </c>
    </row>
    <row r="114" spans="1:1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1.1684536521674216</v>
      </c>
      <c r="I114" s="1">
        <f t="shared" si="7"/>
        <v>2.7282086104662566</v>
      </c>
      <c r="J114" s="1">
        <f t="shared" si="8"/>
        <v>4.0844696411562929</v>
      </c>
      <c r="K114" s="1">
        <f t="shared" si="9"/>
        <v>1.1684536521674216</v>
      </c>
      <c r="L114" s="1">
        <f t="shared" si="10"/>
        <v>1</v>
      </c>
    </row>
    <row r="115" spans="1:1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1.0962643682845679</v>
      </c>
      <c r="I115" s="1">
        <f t="shared" si="7"/>
        <v>2.7027989607483245</v>
      </c>
      <c r="J115" s="1">
        <f t="shared" si="8"/>
        <v>3.7010957351616507</v>
      </c>
      <c r="K115" s="1">
        <f t="shared" si="9"/>
        <v>1.0962643682845679</v>
      </c>
      <c r="L115" s="1">
        <f t="shared" si="10"/>
        <v>1</v>
      </c>
    </row>
    <row r="116" spans="1:1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1.1204983245872886</v>
      </c>
      <c r="I116" s="1">
        <f t="shared" si="7"/>
        <v>2.7105575482218085</v>
      </c>
      <c r="J116" s="1">
        <f t="shared" si="8"/>
        <v>3.8188691801035555</v>
      </c>
      <c r="K116" s="1">
        <f t="shared" si="9"/>
        <v>1.1204983245872886</v>
      </c>
      <c r="L116" s="1">
        <f t="shared" si="10"/>
        <v>1</v>
      </c>
    </row>
    <row r="117" spans="1:1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1.1684536521674216</v>
      </c>
      <c r="I117" s="1">
        <f t="shared" si="7"/>
        <v>2.7282086104662566</v>
      </c>
      <c r="J117" s="1">
        <f t="shared" si="8"/>
        <v>4.0844696411562929</v>
      </c>
      <c r="K117" s="1">
        <f t="shared" si="9"/>
        <v>1.1684536521674216</v>
      </c>
      <c r="L117" s="1">
        <f t="shared" si="10"/>
        <v>1</v>
      </c>
    </row>
    <row r="118" spans="1:1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1.1684536521674216</v>
      </c>
      <c r="I118" s="1">
        <f t="shared" si="7"/>
        <v>2.7282086104662566</v>
      </c>
      <c r="J118" s="1">
        <f t="shared" si="8"/>
        <v>4.0844696411562929</v>
      </c>
      <c r="K118" s="1">
        <f t="shared" si="9"/>
        <v>1.1684536521674216</v>
      </c>
      <c r="L118" s="1">
        <f t="shared" si="10"/>
        <v>1</v>
      </c>
    </row>
    <row r="119" spans="1:1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0.97237672504175077</v>
      </c>
      <c r="I119" s="1">
        <f t="shared" si="7"/>
        <v>2.8618971951409358</v>
      </c>
      <c r="J119" s="1">
        <f t="shared" si="8"/>
        <v>4.0570739174023611</v>
      </c>
      <c r="K119" s="1">
        <f t="shared" si="9"/>
        <v>0.97237672504175077</v>
      </c>
      <c r="L119" s="1">
        <f t="shared" si="10"/>
        <v>1</v>
      </c>
    </row>
    <row r="120" spans="1:1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0.97237672504175077</v>
      </c>
      <c r="I120" s="1">
        <f t="shared" si="7"/>
        <v>2.8618971951409358</v>
      </c>
      <c r="J120" s="1">
        <f t="shared" si="8"/>
        <v>4.0570739174023611</v>
      </c>
      <c r="K120" s="1">
        <f t="shared" si="9"/>
        <v>0.97237672504175077</v>
      </c>
      <c r="L120" s="1">
        <f t="shared" si="10"/>
        <v>1</v>
      </c>
    </row>
    <row r="121" spans="1:1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1.1204983245872886</v>
      </c>
      <c r="I121" s="1">
        <f t="shared" si="7"/>
        <v>2.7105575482218085</v>
      </c>
      <c r="J121" s="1">
        <f t="shared" si="8"/>
        <v>3.8188691801035555</v>
      </c>
      <c r="K121" s="1">
        <f t="shared" si="9"/>
        <v>1.1204983245872886</v>
      </c>
      <c r="L121" s="1">
        <f t="shared" si="10"/>
        <v>1</v>
      </c>
    </row>
    <row r="122" spans="1:1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1.1684536521674216</v>
      </c>
      <c r="I122" s="1">
        <f t="shared" si="7"/>
        <v>2.7282086104662566</v>
      </c>
      <c r="J122" s="1">
        <f t="shared" si="8"/>
        <v>4.0844696411562929</v>
      </c>
      <c r="K122" s="1">
        <f t="shared" si="9"/>
        <v>1.1684536521674216</v>
      </c>
      <c r="L122" s="1">
        <f t="shared" si="10"/>
        <v>1</v>
      </c>
    </row>
    <row r="123" spans="1:1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0.97237672504175077</v>
      </c>
      <c r="I123" s="1">
        <f t="shared" si="7"/>
        <v>2.8618971951409358</v>
      </c>
      <c r="J123" s="1">
        <f t="shared" si="8"/>
        <v>4.0570739174023611</v>
      </c>
      <c r="K123" s="1">
        <f t="shared" si="9"/>
        <v>0.97237672504175077</v>
      </c>
      <c r="L123" s="1">
        <f t="shared" si="10"/>
        <v>1</v>
      </c>
    </row>
    <row r="124" spans="1:1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0.97237672504175077</v>
      </c>
      <c r="I124" s="1">
        <f t="shared" si="7"/>
        <v>2.8618971951409358</v>
      </c>
      <c r="J124" s="1">
        <f t="shared" si="8"/>
        <v>4.0570739174023611</v>
      </c>
      <c r="K124" s="1">
        <f t="shared" si="9"/>
        <v>0.97237672504175077</v>
      </c>
      <c r="L124" s="1">
        <f t="shared" si="10"/>
        <v>1</v>
      </c>
    </row>
    <row r="125" spans="1:1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0.97237672504175077</v>
      </c>
      <c r="I125" s="1">
        <f t="shared" si="7"/>
        <v>2.8618971951409358</v>
      </c>
      <c r="J125" s="1">
        <f t="shared" si="8"/>
        <v>4.0570739174023611</v>
      </c>
      <c r="K125" s="1">
        <f t="shared" si="9"/>
        <v>0.97237672504175077</v>
      </c>
      <c r="L125" s="1">
        <f t="shared" si="10"/>
        <v>1</v>
      </c>
    </row>
    <row r="126" spans="1:1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1.4915046975604138</v>
      </c>
      <c r="I126" s="1">
        <f t="shared" si="7"/>
        <v>3.7890793370187201</v>
      </c>
      <c r="J126" s="1">
        <f t="shared" si="8"/>
        <v>4.8255503031041211</v>
      </c>
      <c r="K126" s="1">
        <f t="shared" si="9"/>
        <v>1.4915046975604138</v>
      </c>
      <c r="L126" s="1">
        <f t="shared" si="10"/>
        <v>1</v>
      </c>
    </row>
    <row r="127" spans="1:1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1.6261468890310145</v>
      </c>
      <c r="I127" s="1">
        <f t="shared" si="7"/>
        <v>3.6891447367769254</v>
      </c>
      <c r="J127" s="1">
        <f t="shared" si="8"/>
        <v>4.8486059033550202</v>
      </c>
      <c r="K127" s="1">
        <f t="shared" si="9"/>
        <v>1.6261468890310145</v>
      </c>
      <c r="L127" s="1">
        <f t="shared" si="10"/>
        <v>1</v>
      </c>
    </row>
    <row r="128" spans="1:1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1.4411494871248194</v>
      </c>
      <c r="I128" s="1">
        <f t="shared" si="7"/>
        <v>3.7718857647365494</v>
      </c>
      <c r="J128" s="1">
        <f t="shared" si="8"/>
        <v>4.5685433019400534</v>
      </c>
      <c r="K128" s="1">
        <f t="shared" si="9"/>
        <v>1.4411494871248194</v>
      </c>
      <c r="L128" s="1">
        <f t="shared" si="10"/>
        <v>1</v>
      </c>
    </row>
    <row r="129" spans="1:1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1.5800883792056049</v>
      </c>
      <c r="I129" s="1">
        <f t="shared" si="7"/>
        <v>3.6714832001370903</v>
      </c>
      <c r="J129" s="1">
        <f t="shared" si="8"/>
        <v>4.5928892192129123</v>
      </c>
      <c r="K129" s="1">
        <f t="shared" si="9"/>
        <v>1.5800883792056049</v>
      </c>
      <c r="L129" s="1">
        <f t="shared" si="10"/>
        <v>1</v>
      </c>
    </row>
    <row r="130" spans="1:1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1.4411494871248194</v>
      </c>
      <c r="I130" s="1">
        <f t="shared" si="7"/>
        <v>3.7718857647365494</v>
      </c>
      <c r="J130" s="1">
        <f t="shared" si="8"/>
        <v>4.5685433019400534</v>
      </c>
      <c r="K130" s="1">
        <f t="shared" si="9"/>
        <v>1.4411494871248194</v>
      </c>
      <c r="L130" s="1">
        <f t="shared" si="10"/>
        <v>1</v>
      </c>
    </row>
    <row r="131" spans="1:1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3.9812269036307915</v>
      </c>
      <c r="I131" s="1">
        <f t="shared" si="7"/>
        <v>5.1938221849509718</v>
      </c>
      <c r="J131" s="1">
        <f t="shared" si="8"/>
        <v>5.0343883603245079</v>
      </c>
      <c r="K131" s="1">
        <f t="shared" si="9"/>
        <v>3.9812269036307915</v>
      </c>
      <c r="L131" s="1">
        <f t="shared" si="10"/>
        <v>1</v>
      </c>
    </row>
    <row r="132" spans="1:1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1.6261468890310145</v>
      </c>
      <c r="I132" s="1">
        <f t="shared" si="7"/>
        <v>3.6891447367769254</v>
      </c>
      <c r="J132" s="1">
        <f t="shared" si="8"/>
        <v>4.8486059033550202</v>
      </c>
      <c r="K132" s="1">
        <f t="shared" si="9"/>
        <v>1.6261468890310145</v>
      </c>
      <c r="L132" s="1">
        <f t="shared" si="10"/>
        <v>1</v>
      </c>
    </row>
    <row r="133" spans="1:1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1.4915046975604138</v>
      </c>
      <c r="I133" s="1">
        <f t="shared" si="7"/>
        <v>3.7890793370187201</v>
      </c>
      <c r="J133" s="1">
        <f t="shared" si="8"/>
        <v>4.8255503031041211</v>
      </c>
      <c r="K133" s="1">
        <f t="shared" si="9"/>
        <v>1.4915046975604138</v>
      </c>
      <c r="L133" s="1">
        <f t="shared" si="10"/>
        <v>1</v>
      </c>
    </row>
    <row r="134" spans="1:1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1.4915046975604138</v>
      </c>
      <c r="I134" s="1">
        <f t="shared" si="7"/>
        <v>3.7890793370187201</v>
      </c>
      <c r="J134" s="1">
        <f t="shared" si="8"/>
        <v>4.8255503031041211</v>
      </c>
      <c r="K134" s="1">
        <f t="shared" si="9"/>
        <v>1.4915046975604138</v>
      </c>
      <c r="L134" s="1">
        <f t="shared" si="10"/>
        <v>1</v>
      </c>
    </row>
    <row r="135" spans="1:1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1.4915046975604138</v>
      </c>
      <c r="I135" s="1">
        <f t="shared" si="7"/>
        <v>3.7890793370187201</v>
      </c>
      <c r="J135" s="1">
        <f t="shared" si="8"/>
        <v>4.8255503031041211</v>
      </c>
      <c r="K135" s="1">
        <f t="shared" si="9"/>
        <v>1.4915046975604138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DBCC-285D-B84D-977E-23EAF59AEEBC}">
  <dimension ref="A1:T135"/>
  <sheetViews>
    <sheetView workbookViewId="0">
      <selection activeCell="M20" sqref="M20"/>
    </sheetView>
  </sheetViews>
  <sheetFormatPr baseColWidth="10" defaultRowHeight="15"/>
  <cols>
    <col min="11" max="11" width="10.83203125" style="22"/>
    <col min="12" max="12" width="19" style="22" bestFit="1" customWidth="1"/>
    <col min="13" max="13" width="15.6640625" style="1" bestFit="1" customWidth="1"/>
    <col min="14" max="14" width="14.1640625" style="1" bestFit="1" customWidth="1"/>
    <col min="18" max="18" width="24.33203125" bestFit="1" customWidth="1"/>
    <col min="19" max="19" width="21.33203125" customWidth="1"/>
    <col min="20" max="20" width="16.33203125" customWidth="1"/>
  </cols>
  <sheetData>
    <row r="1" spans="1:20">
      <c r="A1" s="19" t="s">
        <v>9</v>
      </c>
      <c r="B1" s="19" t="s">
        <v>13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32" t="s">
        <v>11</v>
      </c>
      <c r="I1" s="32"/>
      <c r="J1" s="32"/>
      <c r="K1" s="21" t="s">
        <v>12</v>
      </c>
      <c r="L1" s="21" t="s">
        <v>13</v>
      </c>
      <c r="Q1" s="28" t="s">
        <v>27</v>
      </c>
      <c r="R1" s="28" t="s">
        <v>28</v>
      </c>
      <c r="S1" s="28" t="s">
        <v>29</v>
      </c>
      <c r="T1" s="24"/>
    </row>
    <row r="2" spans="1:20" ht="16">
      <c r="A2" s="13">
        <v>1</v>
      </c>
      <c r="B2" s="9">
        <f>'iterasi 1'!L2</f>
        <v>43</v>
      </c>
      <c r="C2" s="3">
        <f>SUMIF('iterasi 7'!$L$10:$L$135,$A$2,'iterasi 7'!C$10:C$135)/$B$2</f>
        <v>0</v>
      </c>
      <c r="D2" s="3">
        <f>SUMIF('iterasi 7'!$L$10:$L$135,$A$2,'iterasi 7'!D$10:D$135)/$B$2</f>
        <v>-0.33255813953488372</v>
      </c>
      <c r="E2" s="3">
        <f>SUMIF('iterasi 7'!$L$10:$L$135,$A$2,'iterasi 7'!E$10:E$135)/$B$2</f>
        <v>-0.26046511627906971</v>
      </c>
      <c r="F2" s="3">
        <f>SUMIF('iterasi 7'!$L$10:$L$135,$A$2,'iterasi 7'!F$10:F$135)/$B$2</f>
        <v>-0.16046511627906973</v>
      </c>
      <c r="G2" s="3">
        <f>SUMIF('iterasi 7'!$L$10:$L$135,$A$2,'iterasi 7'!G$10:G$135)/$B$2</f>
        <v>4.8604651162790695</v>
      </c>
      <c r="H2" s="1"/>
      <c r="I2" s="1"/>
      <c r="J2" s="1"/>
      <c r="K2" s="10">
        <v>1</v>
      </c>
      <c r="L2" s="10">
        <f>COUNTIF($L$10:$L$135,A2)</f>
        <v>43</v>
      </c>
      <c r="Q2" s="29" t="s">
        <v>30</v>
      </c>
      <c r="R2" s="26">
        <v>1</v>
      </c>
      <c r="S2" s="27">
        <f>AVERAGEIF($L$10:$L$135,1,$K$10:$K$135)</f>
        <v>1.4209782528589163</v>
      </c>
      <c r="T2" s="24"/>
    </row>
    <row r="3" spans="1:20" ht="16">
      <c r="A3" s="13">
        <v>2</v>
      </c>
      <c r="B3" s="9">
        <f>'iterasi 1'!L3</f>
        <v>60</v>
      </c>
      <c r="C3" s="3">
        <f>SUMIF('iterasi 7'!$L$10:$L$135,$A$3,'iterasi 7'!C$10:C$135)/$B$3</f>
        <v>0</v>
      </c>
      <c r="D3" s="3">
        <f>SUMIF('iterasi 7'!$L$10:$L$135,$A$3,'iterasi 7'!D$10:D$135)/$B$3</f>
        <v>-0.35</v>
      </c>
      <c r="E3" s="3">
        <f>SUMIF('iterasi 7'!$L$10:$L$135,$A$3,'iterasi 7'!E$10:E$135)/$B$3</f>
        <v>-0.28499999999999981</v>
      </c>
      <c r="F3" s="3">
        <f>SUMIF('iterasi 7'!$L$10:$L$135,$A$3,'iterasi 7'!F$10:F$135)/$B$3</f>
        <v>0.16333333333333341</v>
      </c>
      <c r="G3" s="3">
        <f>SUMIF('iterasi 7'!$L$10:$L$135,$A$3,'iterasi 7'!G$10:G$135)/$B$3</f>
        <v>2.4</v>
      </c>
      <c r="H3" s="1"/>
      <c r="I3" s="1"/>
      <c r="J3" s="1"/>
      <c r="K3" s="10">
        <v>2</v>
      </c>
      <c r="L3" s="10">
        <f t="shared" ref="L3:L4" si="0">COUNTIF($L$10:$L$135,A3)</f>
        <v>70</v>
      </c>
      <c r="Q3" s="29" t="s">
        <v>30</v>
      </c>
      <c r="R3" s="26">
        <v>2</v>
      </c>
      <c r="S3" s="27">
        <f>AVERAGEIF($L$10:$L$135,2,$K$10:$K$135)</f>
        <v>1.4032509302277185</v>
      </c>
      <c r="T3" s="24"/>
    </row>
    <row r="4" spans="1:20" ht="16">
      <c r="A4" s="13">
        <v>3</v>
      </c>
      <c r="B4" s="9">
        <f>'iterasi 1'!L4</f>
        <v>23</v>
      </c>
      <c r="C4" s="3">
        <f>SUMIF('iterasi 7'!$L$10:$L$135,$A$4,'iterasi 7'!C$10:C$135)/$B$4</f>
        <v>0</v>
      </c>
      <c r="D4" s="3">
        <f>SUMIF('iterasi 7'!$L$10:$L$135,$A$4,'iterasi 7'!D$10:D$135)/$B$4</f>
        <v>1.4869565217391303</v>
      </c>
      <c r="E4" s="3">
        <f>SUMIF('iterasi 7'!$L$10:$L$135,$A$4,'iterasi 7'!E$10:E$135)/$B$4</f>
        <v>1.1391304347826088</v>
      </c>
      <c r="F4" s="3">
        <f>SUMIF('iterasi 7'!$L$10:$L$135,$A$4,'iterasi 7'!F$10:F$135)/$B$4</f>
        <v>-0.15217391304347827</v>
      </c>
      <c r="G4" s="3">
        <f>SUMIF('iterasi 7'!$L$10:$L$135,$A$4,'iterasi 7'!G$10:G$135)/$B$4</f>
        <v>2.1304347826086958</v>
      </c>
      <c r="H4" s="1"/>
      <c r="I4" s="1"/>
      <c r="J4" s="1"/>
      <c r="K4" s="10">
        <v>3</v>
      </c>
      <c r="L4" s="10">
        <f t="shared" si="0"/>
        <v>13</v>
      </c>
      <c r="Q4" s="29" t="s">
        <v>30</v>
      </c>
      <c r="R4" s="26">
        <v>3</v>
      </c>
      <c r="S4" s="27">
        <f>AVERAGEIF($L$10:$L$135,3,$K$10:$K$135)</f>
        <v>2.8025659724340004</v>
      </c>
      <c r="T4" s="24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0"/>
      <c r="Q5" s="29" t="s">
        <v>31</v>
      </c>
      <c r="R5" s="26" t="s">
        <v>32</v>
      </c>
      <c r="S5" s="26">
        <f>SQRT((C2-C3)^2+(D2-D3)^2+(E2-E3)^2+(F2-F3)^2+(G2-G3)^2)</f>
        <v>2.4818622450517385</v>
      </c>
      <c r="T5" s="24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0"/>
      <c r="L6" s="10"/>
      <c r="Q6" s="29" t="s">
        <v>31</v>
      </c>
      <c r="R6" s="26" t="s">
        <v>33</v>
      </c>
      <c r="S6" s="26">
        <f>SQRT((C2-C4)^2+(D2-D4)^2+(E2-E4)^2+(F2-F4)^2+(G2-G4)^2)</f>
        <v>3.5668803843070207</v>
      </c>
      <c r="T6" s="24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0"/>
      <c r="L7" s="10"/>
      <c r="Q7" s="29" t="s">
        <v>31</v>
      </c>
      <c r="R7" s="26" t="s">
        <v>34</v>
      </c>
      <c r="S7" s="26">
        <f>SQRT((C3-C4)^2+(D3-D4)^2+(E3-E4)^2+(F3-F4)^2+(G3-G4)^2)</f>
        <v>2.3610944468566957</v>
      </c>
      <c r="T7" s="24"/>
    </row>
    <row r="8" spans="1:20" ht="16">
      <c r="A8" s="16"/>
      <c r="B8" s="33" t="s">
        <v>10</v>
      </c>
      <c r="C8" s="34" t="s">
        <v>14</v>
      </c>
      <c r="D8" s="34"/>
      <c r="E8" s="34"/>
      <c r="F8" s="34"/>
      <c r="G8" s="34"/>
      <c r="H8" s="35" t="s">
        <v>15</v>
      </c>
      <c r="I8" s="35"/>
      <c r="J8" s="35"/>
      <c r="K8" s="34" t="s">
        <v>16</v>
      </c>
      <c r="L8" s="34" t="s">
        <v>17</v>
      </c>
      <c r="M8" s="30" t="s">
        <v>18</v>
      </c>
      <c r="N8" s="30" t="s">
        <v>19</v>
      </c>
      <c r="O8" s="31" t="s">
        <v>20</v>
      </c>
      <c r="Q8" s="29" t="s">
        <v>35</v>
      </c>
      <c r="R8" s="26" t="s">
        <v>21</v>
      </c>
      <c r="S8" s="27">
        <f>(S2+S3)/S5</f>
        <v>1.1379475991133259</v>
      </c>
      <c r="T8" s="24"/>
    </row>
    <row r="9" spans="1:20" ht="16">
      <c r="A9" s="16"/>
      <c r="B9" s="33"/>
      <c r="C9" s="17" t="s">
        <v>0</v>
      </c>
      <c r="D9" s="17" t="s">
        <v>1</v>
      </c>
      <c r="E9" s="17" t="s">
        <v>2</v>
      </c>
      <c r="F9" s="17" t="s">
        <v>3</v>
      </c>
      <c r="G9" s="17" t="s">
        <v>4</v>
      </c>
      <c r="H9" s="18">
        <v>1</v>
      </c>
      <c r="I9" s="18">
        <v>2</v>
      </c>
      <c r="J9" s="18">
        <v>3</v>
      </c>
      <c r="K9" s="34"/>
      <c r="L9" s="34"/>
      <c r="M9" s="30"/>
      <c r="N9" s="30"/>
      <c r="O9" s="31"/>
      <c r="Q9" s="29" t="s">
        <v>35</v>
      </c>
      <c r="R9" s="26" t="s">
        <v>22</v>
      </c>
      <c r="S9" s="27">
        <f>(S2+S4)/S6</f>
        <v>1.1841003258407485</v>
      </c>
      <c r="T9" s="24"/>
    </row>
    <row r="10" spans="1:20" ht="16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3.9785974193973783</v>
      </c>
      <c r="I10" s="1">
        <f>SQRT((($C10-$C$3)^2)+(($D10-$D$3)^2)+(($E10-$E$3)^2)+(($F10-$F$3)^2)+(($G10-$G$3)^2))</f>
        <v>1.8729841014927076</v>
      </c>
      <c r="J10" s="1">
        <f>SQRT((($C10-$C$4)^2)+(($D10-$D$4)^2)+(($E10-$E$4)^2)+(($F10-$F$4)^2)+(($G10-$G$4)^2))</f>
        <v>3.0540282983104308</v>
      </c>
      <c r="K10" s="10">
        <f>MIN(H10:J10)</f>
        <v>1.8729841014927076</v>
      </c>
      <c r="L10" s="10">
        <f>IF(K10=J10, $J$9, IF(K10=I10, $I$9, IF(K10=H10, $H$9)))</f>
        <v>2</v>
      </c>
      <c r="M10" s="1">
        <f>IF(Normalize!G2="zona 1", 1, IF(Normalize!G2="zona 2", 2, IF(Normalize!G2="zona 3", 3, "Zona Tidak Dikenal")))</f>
        <v>1</v>
      </c>
      <c r="N10" s="1" t="str">
        <f>IF(L10=M10,"TRUE","FALSE")</f>
        <v>FALSE</v>
      </c>
      <c r="O10" s="15">
        <f>71/126</f>
        <v>0.56349206349206349</v>
      </c>
      <c r="Q10" s="29" t="s">
        <v>35</v>
      </c>
      <c r="R10" s="26" t="s">
        <v>23</v>
      </c>
      <c r="S10" s="27">
        <f>(S3+S4)/S7</f>
        <v>1.7812997308349465</v>
      </c>
      <c r="T10" s="24"/>
    </row>
    <row r="11" spans="1:20" ht="16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>SQRT((($C11-$C$2)^2)+(($D11-$D$2)^2)+(($E11-$E$2)^2)+(($F11-$F$2)^2)+(($G11-$G$2)^2))</f>
        <v>4.017366976719388</v>
      </c>
      <c r="I11" s="1">
        <f t="shared" ref="I11:I74" si="1">SQRT((($C11-$C$3)^2)+(($D11-$D$3)^2)+(($E11-$E$3)^2)+(($F11-$F$3)^2)+(($G11-$G$3)^2))</f>
        <v>1.6159835326443699</v>
      </c>
      <c r="J11" s="1">
        <f t="shared" ref="J11:J74" si="2">SQRT((($C11-$C$4)^2)+(($D11-$D$4)^2)+(($E11-$E$4)^2)+(($F11-$F$4)^2)+(($G11-$G$4)^2))</f>
        <v>2.7550194781782902</v>
      </c>
      <c r="K11" s="10">
        <f t="shared" ref="K11:K74" si="3">MIN(H11:J11)</f>
        <v>1.6159835326443699</v>
      </c>
      <c r="L11" s="10">
        <f t="shared" ref="L11:L74" si="4">IF(K11=J11, $J$9, IF(K11=I11, $I$9, IF(K11=H11, $H$9)))</f>
        <v>2</v>
      </c>
      <c r="M11" s="1">
        <f>IF(Normalize!G3="zona 1", 1, IF(Normalize!G3="zona 2", 2, IF(Normalize!G3="zona 3", 3, "Zona Tidak Dikenal")))</f>
        <v>2</v>
      </c>
      <c r="N11" s="1" t="str">
        <f t="shared" ref="N11:N74" si="5">IF(L11=M11,"TRUE","FALSE")</f>
        <v>TRUE</v>
      </c>
      <c r="Q11" s="29" t="s">
        <v>36</v>
      </c>
      <c r="R11" s="26" t="s">
        <v>24</v>
      </c>
      <c r="S11" s="27">
        <f>MAX(S8,S9)</f>
        <v>1.1841003258407485</v>
      </c>
      <c r="T11" s="24"/>
    </row>
    <row r="12" spans="1:20" ht="16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ref="H12:H74" si="6">SQRT((($C12-$C$2)^2)+(($D12-$D$2)^2)+(($E12-$E$2)^2)+(($F12-$F$2)^2)+(($G12-$G$2)^2))</f>
        <v>4.0310054412634999</v>
      </c>
      <c r="I12" s="1">
        <f t="shared" si="1"/>
        <v>1.6423771728131689</v>
      </c>
      <c r="J12" s="1">
        <f t="shared" si="2"/>
        <v>3.1169455748290065</v>
      </c>
      <c r="K12" s="10">
        <f t="shared" si="3"/>
        <v>1.6423771728131689</v>
      </c>
      <c r="L12" s="10">
        <f t="shared" si="4"/>
        <v>2</v>
      </c>
      <c r="M12" s="1">
        <f>IF(Normalize!G4="zona 1", 1, IF(Normalize!G4="zona 2", 2, IF(Normalize!G4="zona 3", 3, "Zona Tidak Dikenal")))</f>
        <v>1</v>
      </c>
      <c r="N12" s="1" t="str">
        <f t="shared" si="5"/>
        <v>FALSE</v>
      </c>
      <c r="Q12" s="29" t="s">
        <v>36</v>
      </c>
      <c r="R12" s="26" t="s">
        <v>25</v>
      </c>
      <c r="S12" s="27">
        <f>MAX(S8,S10)</f>
        <v>1.7812997308349465</v>
      </c>
      <c r="T12" s="24"/>
    </row>
    <row r="13" spans="1:20" ht="16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6"/>
        <v>4.017366976719388</v>
      </c>
      <c r="I13" s="1">
        <f t="shared" si="1"/>
        <v>1.6159835326443699</v>
      </c>
      <c r="J13" s="1">
        <f t="shared" si="2"/>
        <v>2.7550194781782902</v>
      </c>
      <c r="K13" s="10">
        <f t="shared" si="3"/>
        <v>1.6159835326443699</v>
      </c>
      <c r="L13" s="10">
        <f t="shared" si="4"/>
        <v>2</v>
      </c>
      <c r="M13" s="1">
        <f>IF(Normalize!G5="zona 1", 1, IF(Normalize!G5="zona 2", 2, IF(Normalize!G5="zona 3", 3, "Zona Tidak Dikenal")))</f>
        <v>2</v>
      </c>
      <c r="N13" s="1" t="str">
        <f t="shared" si="5"/>
        <v>TRUE</v>
      </c>
      <c r="Q13" s="29" t="s">
        <v>36</v>
      </c>
      <c r="R13" s="26" t="s">
        <v>26</v>
      </c>
      <c r="S13" s="27">
        <f>MAX(S9,S10)</f>
        <v>1.7812997308349465</v>
      </c>
      <c r="T13" s="24"/>
    </row>
    <row r="14" spans="1:20" ht="16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6"/>
        <v>4.0310054412634999</v>
      </c>
      <c r="I14" s="1">
        <f>SQRT((($C14-$C$3)^2)+(($D14-$D$3)^2)+(($E14-$E$3)^2)+(($F14-$F$3)^2)+(($G14-$G$3)^2))</f>
        <v>1.6423771728131689</v>
      </c>
      <c r="J14" s="1">
        <f t="shared" si="2"/>
        <v>3.1169455748290065</v>
      </c>
      <c r="K14" s="10">
        <f t="shared" si="3"/>
        <v>1.6423771728131689</v>
      </c>
      <c r="L14" s="10">
        <f t="shared" si="4"/>
        <v>2</v>
      </c>
      <c r="M14" s="1">
        <f>IF(Normalize!G6="zona 1", 1, IF(Normalize!G6="zona 2", 2, IF(Normalize!G6="zona 3", 3, "Zona Tidak Dikenal")))</f>
        <v>1</v>
      </c>
      <c r="N14" s="1" t="str">
        <f t="shared" si="5"/>
        <v>FALSE</v>
      </c>
      <c r="Q14" s="29" t="s">
        <v>27</v>
      </c>
      <c r="R14" s="26" t="s">
        <v>37</v>
      </c>
      <c r="S14" s="27">
        <f>AVERAGE(S11:S13)</f>
        <v>1.5822332625035471</v>
      </c>
      <c r="T14" s="24"/>
    </row>
    <row r="15" spans="1:20" ht="16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6"/>
        <v>3.9599953291678043</v>
      </c>
      <c r="I15" s="1">
        <f t="shared" si="1"/>
        <v>1.8409425424071344</v>
      </c>
      <c r="J15" s="1">
        <f t="shared" si="2"/>
        <v>2.6237464375621431</v>
      </c>
      <c r="K15" s="10">
        <f t="shared" si="3"/>
        <v>1.8409425424071344</v>
      </c>
      <c r="L15" s="10">
        <f t="shared" si="4"/>
        <v>2</v>
      </c>
      <c r="M15" s="1">
        <f>IF(Normalize!G7="zona 1", 1, IF(Normalize!G7="zona 2", 2, IF(Normalize!G7="zona 3", 3, "Zona Tidak Dikenal")))</f>
        <v>2</v>
      </c>
      <c r="N15" s="1" t="str">
        <f t="shared" si="5"/>
        <v>TRUE</v>
      </c>
      <c r="Q15" s="24"/>
      <c r="R15" s="24"/>
      <c r="S15" s="25"/>
      <c r="T15" s="24"/>
    </row>
    <row r="16" spans="1:20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6"/>
        <v>3.9599953291678043</v>
      </c>
      <c r="I16" s="1">
        <f t="shared" si="1"/>
        <v>1.8409425424071344</v>
      </c>
      <c r="J16" s="1">
        <f t="shared" si="2"/>
        <v>2.6237464375621431</v>
      </c>
      <c r="K16" s="10">
        <f t="shared" si="3"/>
        <v>1.8409425424071344</v>
      </c>
      <c r="L16" s="10">
        <f t="shared" si="4"/>
        <v>2</v>
      </c>
      <c r="M16" s="1">
        <f>IF(Normalize!G8="zona 1", 1, IF(Normalize!G8="zona 2", 2, IF(Normalize!G8="zona 3", 3, "Zona Tidak Dikenal")))</f>
        <v>2</v>
      </c>
      <c r="N16" s="1" t="str">
        <f t="shared" si="5"/>
        <v>TRUE</v>
      </c>
    </row>
    <row r="17" spans="1:18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6"/>
        <v>4.0310054412634999</v>
      </c>
      <c r="I17" s="1">
        <f t="shared" si="1"/>
        <v>1.6423771728131689</v>
      </c>
      <c r="J17" s="1">
        <f t="shared" si="2"/>
        <v>3.1169455748290065</v>
      </c>
      <c r="K17" s="10">
        <f t="shared" si="3"/>
        <v>1.6423771728131689</v>
      </c>
      <c r="L17" s="10">
        <f t="shared" si="4"/>
        <v>2</v>
      </c>
      <c r="M17" s="1">
        <f>IF(Normalize!G9="zona 1", 1, IF(Normalize!G9="zona 2", 2, IF(Normalize!G9="zona 3", 3, "Zona Tidak Dikenal")))</f>
        <v>1</v>
      </c>
      <c r="N17" s="1" t="str">
        <f t="shared" si="5"/>
        <v>FALSE</v>
      </c>
    </row>
    <row r="18" spans="1:18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6"/>
        <v>4.0310054412634999</v>
      </c>
      <c r="I18" s="1">
        <f>SQRT((($C18-$C$3)^2)+(($D18-$D$3)^2)+(($E18-$E$3)^2)+(($F18-$F$3)^2)+(($G18-$G$3)^2))</f>
        <v>1.6423771728131689</v>
      </c>
      <c r="J18" s="1">
        <f t="shared" si="2"/>
        <v>3.1169455748290065</v>
      </c>
      <c r="K18" s="10">
        <f t="shared" si="3"/>
        <v>1.6423771728131689</v>
      </c>
      <c r="L18" s="10">
        <f t="shared" si="4"/>
        <v>2</v>
      </c>
      <c r="M18" s="1">
        <f>IF(Normalize!G10="zona 1", 1, IF(Normalize!G10="zona 2", 2, IF(Normalize!G10="zona 3", 3, "Zona Tidak Dikenal")))</f>
        <v>1</v>
      </c>
      <c r="N18" s="1" t="str">
        <f t="shared" si="5"/>
        <v>FALSE</v>
      </c>
    </row>
    <row r="19" spans="1:18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6"/>
        <v>3.9647786803017153</v>
      </c>
      <c r="I19" s="1">
        <f t="shared" si="1"/>
        <v>1.8498836299736383</v>
      </c>
      <c r="J19" s="1">
        <f t="shared" si="2"/>
        <v>2.6836302754993206</v>
      </c>
      <c r="K19" s="10">
        <f t="shared" si="3"/>
        <v>1.8498836299736383</v>
      </c>
      <c r="L19" s="10">
        <f t="shared" si="4"/>
        <v>2</v>
      </c>
      <c r="M19" s="1">
        <f>IF(Normalize!G11="zona 1", 1, IF(Normalize!G11="zona 2", 2, IF(Normalize!G11="zona 3", 3, "Zona Tidak Dikenal")))</f>
        <v>2</v>
      </c>
      <c r="N19" s="1" t="str">
        <f t="shared" si="5"/>
        <v>TRUE</v>
      </c>
    </row>
    <row r="20" spans="1:18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6"/>
        <v>3.957998111866964</v>
      </c>
      <c r="I20" s="1">
        <f t="shared" si="1"/>
        <v>1.8393122204901604</v>
      </c>
      <c r="J20" s="1">
        <f t="shared" si="2"/>
        <v>2.5116514875091638</v>
      </c>
      <c r="K20" s="10">
        <f t="shared" si="3"/>
        <v>1.8393122204901604</v>
      </c>
      <c r="L20" s="10">
        <f t="shared" si="4"/>
        <v>2</v>
      </c>
      <c r="M20" s="1">
        <f>IF(Normalize!G12="zona 1", 1, IF(Normalize!G12="zona 2", 2, IF(Normalize!G12="zona 3", 3, "Zona Tidak Dikenal")))</f>
        <v>2</v>
      </c>
      <c r="N20" s="1" t="str">
        <f t="shared" si="5"/>
        <v>TRUE</v>
      </c>
    </row>
    <row r="21" spans="1:18" ht="18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6"/>
        <v>3.9647786803017153</v>
      </c>
      <c r="I21" s="1">
        <f t="shared" si="1"/>
        <v>1.8498836299736383</v>
      </c>
      <c r="J21" s="1">
        <f t="shared" si="2"/>
        <v>2.6836302754993206</v>
      </c>
      <c r="K21" s="10">
        <f t="shared" si="3"/>
        <v>1.8498836299736383</v>
      </c>
      <c r="L21" s="10">
        <f t="shared" si="4"/>
        <v>2</v>
      </c>
      <c r="M21" s="1">
        <f>IF(Normalize!G13="zona 1", 1, IF(Normalize!G13="zona 2", 2, IF(Normalize!G13="zona 3", 3, "Zona Tidak Dikenal")))</f>
        <v>2</v>
      </c>
      <c r="N21" s="1" t="str">
        <f t="shared" si="5"/>
        <v>TRUE</v>
      </c>
      <c r="R21" s="23"/>
    </row>
    <row r="22" spans="1:18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6"/>
        <v>4.0614959132741291</v>
      </c>
      <c r="I22" s="1">
        <f t="shared" si="1"/>
        <v>1.7338981451566804</v>
      </c>
      <c r="J22" s="1">
        <f t="shared" si="2"/>
        <v>2.2564212091202882</v>
      </c>
      <c r="K22" s="10">
        <f t="shared" si="3"/>
        <v>1.7338981451566804</v>
      </c>
      <c r="L22" s="10">
        <f t="shared" si="4"/>
        <v>2</v>
      </c>
      <c r="M22" s="1">
        <f>IF(Normalize!G14="zona 1", 1, IF(Normalize!G14="zona 2", 2, IF(Normalize!G14="zona 3", 3, "Zona Tidak Dikenal")))</f>
        <v>3</v>
      </c>
      <c r="N22" s="1" t="str">
        <f t="shared" si="5"/>
        <v>FALSE</v>
      </c>
    </row>
    <row r="23" spans="1:18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6"/>
        <v>3.9739184847339151</v>
      </c>
      <c r="I23" s="1">
        <f t="shared" si="1"/>
        <v>1.8772505012502843</v>
      </c>
      <c r="J23" s="1">
        <f t="shared" si="2"/>
        <v>2.3653572528980544</v>
      </c>
      <c r="K23" s="10">
        <f t="shared" si="3"/>
        <v>1.8772505012502843</v>
      </c>
      <c r="L23" s="10">
        <f t="shared" si="4"/>
        <v>2</v>
      </c>
      <c r="M23" s="1">
        <f>IF(Normalize!G15="zona 1", 1, IF(Normalize!G15="zona 2", 2, IF(Normalize!G15="zona 3", 3, "Zona Tidak Dikenal")))</f>
        <v>2</v>
      </c>
      <c r="N23" s="1" t="str">
        <f t="shared" si="5"/>
        <v>TRUE</v>
      </c>
    </row>
    <row r="24" spans="1:18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6"/>
        <v>3.9785974193973783</v>
      </c>
      <c r="I24" s="1">
        <f t="shared" si="1"/>
        <v>1.8729841014927076</v>
      </c>
      <c r="J24" s="1">
        <f t="shared" si="2"/>
        <v>3.0540282983104308</v>
      </c>
      <c r="K24" s="10">
        <f t="shared" si="3"/>
        <v>1.8729841014927076</v>
      </c>
      <c r="L24" s="10">
        <f t="shared" si="4"/>
        <v>2</v>
      </c>
      <c r="M24" s="1">
        <f>IF(Normalize!G16="zona 1", 1, IF(Normalize!G16="zona 2", 2, IF(Normalize!G16="zona 3", 3, "Zona Tidak Dikenal")))</f>
        <v>1</v>
      </c>
      <c r="N24" s="1" t="str">
        <f t="shared" si="5"/>
        <v>FALSE</v>
      </c>
    </row>
    <row r="25" spans="1:18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6"/>
        <v>4.017366976719388</v>
      </c>
      <c r="I25" s="1">
        <f t="shared" si="1"/>
        <v>1.6159835326443699</v>
      </c>
      <c r="J25" s="1">
        <f t="shared" si="2"/>
        <v>2.7550194781782902</v>
      </c>
      <c r="K25" s="10">
        <f t="shared" si="3"/>
        <v>1.6159835326443699</v>
      </c>
      <c r="L25" s="10">
        <f t="shared" si="4"/>
        <v>2</v>
      </c>
      <c r="M25" s="1">
        <f>IF(Normalize!G17="zona 1", 1, IF(Normalize!G17="zona 2", 2, IF(Normalize!G17="zona 3", 3, "Zona Tidak Dikenal")))</f>
        <v>2</v>
      </c>
      <c r="N25" s="1" t="str">
        <f t="shared" si="5"/>
        <v>TRUE</v>
      </c>
    </row>
    <row r="26" spans="1:18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6"/>
        <v>4.0310054412634999</v>
      </c>
      <c r="I26" s="1">
        <f t="shared" si="1"/>
        <v>1.6423771728131689</v>
      </c>
      <c r="J26" s="1">
        <f t="shared" si="2"/>
        <v>3.1169455748290065</v>
      </c>
      <c r="K26" s="10">
        <f t="shared" si="3"/>
        <v>1.6423771728131689</v>
      </c>
      <c r="L26" s="10">
        <f t="shared" si="4"/>
        <v>2</v>
      </c>
      <c r="M26" s="1">
        <f>IF(Normalize!G18="zona 1", 1, IF(Normalize!G18="zona 2", 2, IF(Normalize!G18="zona 3", 3, "Zona Tidak Dikenal")))</f>
        <v>1</v>
      </c>
      <c r="N26" s="1" t="str">
        <f t="shared" si="5"/>
        <v>FALSE</v>
      </c>
    </row>
    <row r="27" spans="1:18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6"/>
        <v>3.9785974193973783</v>
      </c>
      <c r="I27" s="1">
        <f t="shared" si="1"/>
        <v>1.8729841014927076</v>
      </c>
      <c r="J27" s="1">
        <f t="shared" si="2"/>
        <v>3.0540282983104308</v>
      </c>
      <c r="K27" s="10">
        <f t="shared" si="3"/>
        <v>1.8729841014927076</v>
      </c>
      <c r="L27" s="10">
        <f t="shared" si="4"/>
        <v>2</v>
      </c>
      <c r="M27" s="1">
        <f>IF(Normalize!G19="zona 1", 1, IF(Normalize!G19="zona 2", 2, IF(Normalize!G19="zona 3", 3, "Zona Tidak Dikenal")))</f>
        <v>1</v>
      </c>
      <c r="N27" s="1" t="str">
        <f t="shared" si="5"/>
        <v>FALSE</v>
      </c>
    </row>
    <row r="28" spans="1:18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6"/>
        <v>3.9785974193973783</v>
      </c>
      <c r="I28" s="1">
        <f t="shared" si="1"/>
        <v>1.8729841014927076</v>
      </c>
      <c r="J28" s="1">
        <f t="shared" si="2"/>
        <v>3.0540282983104308</v>
      </c>
      <c r="K28" s="10">
        <f t="shared" si="3"/>
        <v>1.8729841014927076</v>
      </c>
      <c r="L28" s="10">
        <f t="shared" si="4"/>
        <v>2</v>
      </c>
      <c r="M28" s="1">
        <f>IF(Normalize!G20="zona 1", 1, IF(Normalize!G20="zona 2", 2, IF(Normalize!G20="zona 3", 3, "Zona Tidak Dikenal")))</f>
        <v>1</v>
      </c>
      <c r="N28" s="1" t="str">
        <f t="shared" si="5"/>
        <v>FALSE</v>
      </c>
    </row>
    <row r="29" spans="1:18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6"/>
        <v>4.0310054412634999</v>
      </c>
      <c r="I29" s="1">
        <f t="shared" si="1"/>
        <v>1.6423771728131689</v>
      </c>
      <c r="J29" s="1">
        <f t="shared" si="2"/>
        <v>3.1169455748290065</v>
      </c>
      <c r="K29" s="10">
        <f t="shared" si="3"/>
        <v>1.6423771728131689</v>
      </c>
      <c r="L29" s="10">
        <f t="shared" si="4"/>
        <v>2</v>
      </c>
      <c r="M29" s="1">
        <f>IF(Normalize!G21="zona 1", 1, IF(Normalize!G21="zona 2", 2, IF(Normalize!G21="zona 3", 3, "Zona Tidak Dikenal")))</f>
        <v>1</v>
      </c>
      <c r="N29" s="1" t="str">
        <f t="shared" si="5"/>
        <v>FALSE</v>
      </c>
    </row>
    <row r="30" spans="1:18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6"/>
        <v>4.0977793455932154</v>
      </c>
      <c r="I30" s="1">
        <f t="shared" si="1"/>
        <v>2.1349635698166947</v>
      </c>
      <c r="J30" s="1">
        <f t="shared" si="2"/>
        <v>1.8674912662418539</v>
      </c>
      <c r="K30" s="10">
        <f t="shared" si="3"/>
        <v>1.8674912662418539</v>
      </c>
      <c r="L30" s="10">
        <f t="shared" si="4"/>
        <v>3</v>
      </c>
      <c r="M30" s="1">
        <f>IF(Normalize!G22="zona 1", 1, IF(Normalize!G22="zona 2", 2, IF(Normalize!G22="zona 3", 3, "Zona Tidak Dikenal")))</f>
        <v>3</v>
      </c>
      <c r="N30" s="1" t="str">
        <f t="shared" si="5"/>
        <v>TRUE</v>
      </c>
    </row>
    <row r="31" spans="1:18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6"/>
        <v>4.0310054412634999</v>
      </c>
      <c r="I31" s="1">
        <f t="shared" si="1"/>
        <v>1.6423771728131689</v>
      </c>
      <c r="J31" s="1">
        <f t="shared" si="2"/>
        <v>3.1169455748290065</v>
      </c>
      <c r="K31" s="10">
        <f t="shared" si="3"/>
        <v>1.6423771728131689</v>
      </c>
      <c r="L31" s="10">
        <f t="shared" si="4"/>
        <v>2</v>
      </c>
      <c r="M31" s="1">
        <f>IF(Normalize!G23="zona 1", 1, IF(Normalize!G23="zona 2", 2, IF(Normalize!G23="zona 3", 3, "Zona Tidak Dikenal")))</f>
        <v>1</v>
      </c>
      <c r="N31" s="1" t="str">
        <f t="shared" si="5"/>
        <v>FALSE</v>
      </c>
    </row>
    <row r="32" spans="1:18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6"/>
        <v>4.0310054412634999</v>
      </c>
      <c r="I32" s="1">
        <f t="shared" si="1"/>
        <v>1.6423771728131689</v>
      </c>
      <c r="J32" s="1">
        <f t="shared" si="2"/>
        <v>3.1169455748290065</v>
      </c>
      <c r="K32" s="10">
        <f t="shared" si="3"/>
        <v>1.6423771728131689</v>
      </c>
      <c r="L32" s="10">
        <f t="shared" si="4"/>
        <v>2</v>
      </c>
      <c r="M32" s="1">
        <f>IF(Normalize!G24="zona 1", 1, IF(Normalize!G24="zona 2", 2, IF(Normalize!G24="zona 3", 3, "Zona Tidak Dikenal")))</f>
        <v>1</v>
      </c>
      <c r="N32" s="1" t="str">
        <f t="shared" si="5"/>
        <v>FALSE</v>
      </c>
    </row>
    <row r="33" spans="1:14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6"/>
        <v>3.9647786803017153</v>
      </c>
      <c r="I33" s="1">
        <f t="shared" si="1"/>
        <v>1.8498836299736383</v>
      </c>
      <c r="J33" s="1">
        <f t="shared" si="2"/>
        <v>2.6836302754993206</v>
      </c>
      <c r="K33" s="10">
        <f t="shared" si="3"/>
        <v>1.8498836299736383</v>
      </c>
      <c r="L33" s="10">
        <f t="shared" si="4"/>
        <v>2</v>
      </c>
      <c r="M33" s="1">
        <f>IF(Normalize!G25="zona 1", 1, IF(Normalize!G25="zona 2", 2, IF(Normalize!G25="zona 3", 3, "Zona Tidak Dikenal")))</f>
        <v>2</v>
      </c>
      <c r="N33" s="1" t="str">
        <f t="shared" si="5"/>
        <v>TRUE</v>
      </c>
    </row>
    <row r="34" spans="1:14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6"/>
        <v>4.0610378135779399</v>
      </c>
      <c r="I34" s="1">
        <f t="shared" si="1"/>
        <v>1.7304342743305154</v>
      </c>
      <c r="J34" s="1">
        <f t="shared" si="2"/>
        <v>2.622834870883866</v>
      </c>
      <c r="K34" s="10">
        <f t="shared" si="3"/>
        <v>1.7304342743305154</v>
      </c>
      <c r="L34" s="10">
        <f t="shared" si="4"/>
        <v>2</v>
      </c>
      <c r="M34" s="1">
        <f>IF(Normalize!G26="zona 1", 1, IF(Normalize!G26="zona 2", 2, IF(Normalize!G26="zona 3", 3, "Zona Tidak Dikenal")))</f>
        <v>1</v>
      </c>
      <c r="N34" s="1" t="str">
        <f t="shared" si="5"/>
        <v>FALSE</v>
      </c>
    </row>
    <row r="35" spans="1:14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6"/>
        <v>3.1258755398690714</v>
      </c>
      <c r="I35" s="1">
        <f t="shared" si="1"/>
        <v>1.0928873582294643</v>
      </c>
      <c r="J35" s="1">
        <f t="shared" si="2"/>
        <v>2.3703149990469612</v>
      </c>
      <c r="K35" s="10">
        <f t="shared" si="3"/>
        <v>1.0928873582294643</v>
      </c>
      <c r="L35" s="10">
        <f t="shared" si="4"/>
        <v>2</v>
      </c>
      <c r="M35" s="1">
        <f>IF(Normalize!G27="zona 1", 1, IF(Normalize!G27="zona 2", 2, IF(Normalize!G27="zona 3", 3, "Zona Tidak Dikenal")))</f>
        <v>1</v>
      </c>
      <c r="N35" s="1" t="str">
        <f t="shared" si="5"/>
        <v>FALSE</v>
      </c>
    </row>
    <row r="36" spans="1:14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6"/>
        <v>3.1782590279729077</v>
      </c>
      <c r="I36" s="1">
        <f t="shared" si="1"/>
        <v>1.2443483345823136</v>
      </c>
      <c r="J36" s="1">
        <f t="shared" si="2"/>
        <v>1.9832235888579599</v>
      </c>
      <c r="K36" s="10">
        <f t="shared" si="3"/>
        <v>1.2443483345823136</v>
      </c>
      <c r="L36" s="10">
        <f t="shared" si="4"/>
        <v>2</v>
      </c>
      <c r="M36" s="1">
        <f>IF(Normalize!G28="zona 1", 1, IF(Normalize!G28="zona 2", 2, IF(Normalize!G28="zona 3", 3, "Zona Tidak Dikenal")))</f>
        <v>2</v>
      </c>
      <c r="N36" s="1" t="str">
        <f t="shared" si="5"/>
        <v>TRUE</v>
      </c>
    </row>
    <row r="37" spans="1:14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6"/>
        <v>3.0179972155516213</v>
      </c>
      <c r="I37" s="1">
        <f t="shared" si="1"/>
        <v>1.3069313082348455</v>
      </c>
      <c r="J37" s="1">
        <f t="shared" si="2"/>
        <v>2.8401090263691486</v>
      </c>
      <c r="K37" s="10">
        <f t="shared" si="3"/>
        <v>1.3069313082348455</v>
      </c>
      <c r="L37" s="10">
        <f t="shared" si="4"/>
        <v>2</v>
      </c>
      <c r="M37" s="1">
        <f>IF(Normalize!G29="zona 1", 1, IF(Normalize!G29="zona 2", 2, IF(Normalize!G29="zona 3", 3, "Zona Tidak Dikenal")))</f>
        <v>1</v>
      </c>
      <c r="N37" s="1" t="str">
        <f t="shared" si="5"/>
        <v>FALSE</v>
      </c>
    </row>
    <row r="38" spans="1:14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6"/>
        <v>3.1258755398690714</v>
      </c>
      <c r="I38" s="1">
        <f t="shared" si="1"/>
        <v>1.0928873582294643</v>
      </c>
      <c r="J38" s="1">
        <f t="shared" si="2"/>
        <v>2.3703149990469612</v>
      </c>
      <c r="K38" s="10">
        <f t="shared" si="3"/>
        <v>1.0928873582294643</v>
      </c>
      <c r="L38" s="10">
        <f t="shared" si="4"/>
        <v>2</v>
      </c>
      <c r="M38" s="1">
        <f>IF(Normalize!G30="zona 1", 1, IF(Normalize!G30="zona 2", 2, IF(Normalize!G30="zona 3", 3, "Zona Tidak Dikenal")))</f>
        <v>1</v>
      </c>
      <c r="N38" s="1" t="str">
        <f t="shared" si="5"/>
        <v>FALSE</v>
      </c>
    </row>
    <row r="39" spans="1:14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6"/>
        <v>3.0118263380798962</v>
      </c>
      <c r="I39" s="1">
        <f t="shared" si="1"/>
        <v>1.3130382494217159</v>
      </c>
      <c r="J39" s="1">
        <f t="shared" si="2"/>
        <v>2.0818370177850229</v>
      </c>
      <c r="K39" s="10">
        <f t="shared" si="3"/>
        <v>1.3130382494217159</v>
      </c>
      <c r="L39" s="10">
        <f t="shared" si="4"/>
        <v>2</v>
      </c>
      <c r="M39" s="1">
        <f>IF(Normalize!G31="zona 1", 1, IF(Normalize!G31="zona 2", 2, IF(Normalize!G31="zona 3", 3, "Zona Tidak Dikenal")))</f>
        <v>2</v>
      </c>
      <c r="N39" s="1" t="str">
        <f t="shared" si="5"/>
        <v>TRUE</v>
      </c>
    </row>
    <row r="40" spans="1:14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6"/>
        <v>3.0627439031582697</v>
      </c>
      <c r="I40" s="1">
        <f t="shared" si="1"/>
        <v>0.88227137422551438</v>
      </c>
      <c r="J40" s="1">
        <f t="shared" si="2"/>
        <v>2.4518231324807802</v>
      </c>
      <c r="K40" s="10">
        <f t="shared" si="3"/>
        <v>0.88227137422551438</v>
      </c>
      <c r="L40" s="10">
        <f t="shared" si="4"/>
        <v>2</v>
      </c>
      <c r="M40" s="1">
        <f>IF(Normalize!G32="zona 1", 1, IF(Normalize!G32="zona 2", 2, IF(Normalize!G32="zona 3", 3, "Zona Tidak Dikenal")))</f>
        <v>2</v>
      </c>
      <c r="N40" s="1" t="str">
        <f t="shared" si="5"/>
        <v>TRUE</v>
      </c>
    </row>
    <row r="41" spans="1:14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6"/>
        <v>3.1258755398690714</v>
      </c>
      <c r="I41" s="1">
        <f t="shared" si="1"/>
        <v>1.0928873582294643</v>
      </c>
      <c r="J41" s="1">
        <f t="shared" si="2"/>
        <v>2.3703149990469612</v>
      </c>
      <c r="K41" s="10">
        <f t="shared" si="3"/>
        <v>1.0928873582294643</v>
      </c>
      <c r="L41" s="10">
        <f t="shared" si="4"/>
        <v>2</v>
      </c>
      <c r="M41" s="1">
        <f>IF(Normalize!G33="zona 1", 1, IF(Normalize!G33="zona 2", 2, IF(Normalize!G33="zona 3", 3, "Zona Tidak Dikenal")))</f>
        <v>1</v>
      </c>
      <c r="N41" s="1" t="str">
        <f t="shared" si="5"/>
        <v>FALSE</v>
      </c>
    </row>
    <row r="42" spans="1:14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6"/>
        <v>3.1258755398690714</v>
      </c>
      <c r="I42" s="1">
        <f t="shared" si="1"/>
        <v>1.0928873582294643</v>
      </c>
      <c r="J42" s="1">
        <f t="shared" si="2"/>
        <v>2.3703149990469612</v>
      </c>
      <c r="K42" s="10">
        <f t="shared" si="3"/>
        <v>1.0928873582294643</v>
      </c>
      <c r="L42" s="10">
        <f t="shared" si="4"/>
        <v>2</v>
      </c>
      <c r="M42" s="1">
        <f>IF(Normalize!G34="zona 1", 1, IF(Normalize!G34="zona 2", 2, IF(Normalize!G34="zona 3", 3, "Zona Tidak Dikenal")))</f>
        <v>1</v>
      </c>
      <c r="N42" s="1" t="str">
        <f t="shared" si="5"/>
        <v>FALSE</v>
      </c>
    </row>
    <row r="43" spans="1:14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6"/>
        <v>3.0689260651044266</v>
      </c>
      <c r="I43" s="1">
        <f t="shared" si="1"/>
        <v>0.90077898386772859</v>
      </c>
      <c r="J43" s="1">
        <f t="shared" si="2"/>
        <v>2.5158026075040918</v>
      </c>
      <c r="K43" s="10">
        <f t="shared" si="3"/>
        <v>0.90077898386772859</v>
      </c>
      <c r="L43" s="10">
        <f t="shared" si="4"/>
        <v>2</v>
      </c>
      <c r="M43" s="1">
        <f>IF(Normalize!G35="zona 1", 1, IF(Normalize!G35="zona 2", 2, IF(Normalize!G35="zona 3", 3, "Zona Tidak Dikenal")))</f>
        <v>2</v>
      </c>
      <c r="N43" s="1" t="str">
        <f t="shared" si="5"/>
        <v>TRUE</v>
      </c>
    </row>
    <row r="44" spans="1:14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6"/>
        <v>3.0867579488741588</v>
      </c>
      <c r="I44" s="1">
        <f t="shared" si="1"/>
        <v>0.94731345275878864</v>
      </c>
      <c r="J44" s="1">
        <f t="shared" si="2"/>
        <v>2.9076588780716235</v>
      </c>
      <c r="K44" s="10">
        <f t="shared" si="3"/>
        <v>0.94731345275878864</v>
      </c>
      <c r="L44" s="10">
        <f t="shared" si="4"/>
        <v>2</v>
      </c>
      <c r="M44" s="1">
        <f>IF(Normalize!G36="zona 1", 1, IF(Normalize!G36="zona 2", 2, IF(Normalize!G36="zona 3", 3, "Zona Tidak Dikenal")))</f>
        <v>1</v>
      </c>
      <c r="N44" s="1" t="str">
        <f t="shared" si="5"/>
        <v>FALSE</v>
      </c>
    </row>
    <row r="45" spans="1:14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6"/>
        <v>3.0807248063746657</v>
      </c>
      <c r="I45" s="1">
        <f t="shared" si="1"/>
        <v>0.9557210773953756</v>
      </c>
      <c r="J45" s="1">
        <f t="shared" si="2"/>
        <v>2.1730867995055458</v>
      </c>
      <c r="K45" s="10">
        <f t="shared" si="3"/>
        <v>0.9557210773953756</v>
      </c>
      <c r="L45" s="10">
        <f t="shared" si="4"/>
        <v>2</v>
      </c>
      <c r="M45" s="1">
        <f>IF(Normalize!G37="zona 1", 1, IF(Normalize!G37="zona 2", 2, IF(Normalize!G37="zona 3", 3, "Zona Tidak Dikenal")))</f>
        <v>2</v>
      </c>
      <c r="N45" s="1" t="str">
        <f t="shared" si="5"/>
        <v>TRUE</v>
      </c>
    </row>
    <row r="46" spans="1:14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6"/>
        <v>2.9997566153301292</v>
      </c>
      <c r="I46" s="1">
        <f t="shared" si="1"/>
        <v>1.2736049012328918</v>
      </c>
      <c r="J46" s="1">
        <f t="shared" si="2"/>
        <v>2.4374170530213268</v>
      </c>
      <c r="K46" s="10">
        <f t="shared" si="3"/>
        <v>1.2736049012328918</v>
      </c>
      <c r="L46" s="10">
        <f t="shared" si="4"/>
        <v>2</v>
      </c>
      <c r="M46" s="1">
        <f>IF(Normalize!G38="zona 1", 1, IF(Normalize!G38="zona 2", 2, IF(Normalize!G38="zona 3", 3, "Zona Tidak Dikenal")))</f>
        <v>2</v>
      </c>
      <c r="N46" s="1" t="str">
        <f t="shared" si="5"/>
        <v>TRUE</v>
      </c>
    </row>
    <row r="47" spans="1:14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6"/>
        <v>3.1406457982852252</v>
      </c>
      <c r="I47" s="1">
        <f t="shared" si="1"/>
        <v>1.595640762967794</v>
      </c>
      <c r="J47" s="1">
        <f t="shared" si="2"/>
        <v>1.8566337406394691</v>
      </c>
      <c r="K47" s="10">
        <f t="shared" si="3"/>
        <v>1.595640762967794</v>
      </c>
      <c r="L47" s="10">
        <f t="shared" si="4"/>
        <v>2</v>
      </c>
      <c r="M47" s="1">
        <f>IF(Normalize!G39="zona 1", 1, IF(Normalize!G39="zona 2", 2, IF(Normalize!G39="zona 3", 3, "Zona Tidak Dikenal")))</f>
        <v>2</v>
      </c>
      <c r="N47" s="1" t="str">
        <f t="shared" si="5"/>
        <v>TRUE</v>
      </c>
    </row>
    <row r="48" spans="1:14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6"/>
        <v>3.0118263380798962</v>
      </c>
      <c r="I48" s="1">
        <f t="shared" si="1"/>
        <v>1.3130382494217159</v>
      </c>
      <c r="J48" s="1">
        <f t="shared" si="2"/>
        <v>2.0818370177850229</v>
      </c>
      <c r="K48" s="10">
        <f t="shared" si="3"/>
        <v>1.3130382494217159</v>
      </c>
      <c r="L48" s="10">
        <f t="shared" si="4"/>
        <v>2</v>
      </c>
      <c r="M48" s="1">
        <f>IF(Normalize!G40="zona 1", 1, IF(Normalize!G40="zona 2", 2, IF(Normalize!G40="zona 3", 3, "Zona Tidak Dikenal")))</f>
        <v>2</v>
      </c>
      <c r="N48" s="1" t="str">
        <f t="shared" si="5"/>
        <v>TRUE</v>
      </c>
    </row>
    <row r="49" spans="1:14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6"/>
        <v>3.4654682199920708</v>
      </c>
      <c r="I49" s="1">
        <f t="shared" si="1"/>
        <v>2.1771700540941779</v>
      </c>
      <c r="J49" s="1">
        <f t="shared" si="2"/>
        <v>1.0149543463337536</v>
      </c>
      <c r="K49" s="10">
        <f t="shared" si="3"/>
        <v>1.0149543463337536</v>
      </c>
      <c r="L49" s="10">
        <f t="shared" si="4"/>
        <v>3</v>
      </c>
      <c r="M49" s="1">
        <f>IF(Normalize!G41="zona 1", 1, IF(Normalize!G41="zona 2", 2, IF(Normalize!G41="zona 3", 3, "Zona Tidak Dikenal")))</f>
        <v>3</v>
      </c>
      <c r="N49" s="1" t="str">
        <f t="shared" si="5"/>
        <v>TRUE</v>
      </c>
    </row>
    <row r="50" spans="1:14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6"/>
        <v>3.1406457982852252</v>
      </c>
      <c r="I50" s="1">
        <f t="shared" si="1"/>
        <v>1.595640762967794</v>
      </c>
      <c r="J50" s="1">
        <f t="shared" si="2"/>
        <v>1.8566337406394691</v>
      </c>
      <c r="K50" s="10">
        <f t="shared" si="3"/>
        <v>1.595640762967794</v>
      </c>
      <c r="L50" s="10">
        <f t="shared" si="4"/>
        <v>2</v>
      </c>
      <c r="M50" s="1">
        <f>IF(Normalize!G42="zona 1", 1, IF(Normalize!G42="zona 2", 2, IF(Normalize!G42="zona 3", 3, "Zona Tidak Dikenal")))</f>
        <v>2</v>
      </c>
      <c r="N50" s="1" t="str">
        <f t="shared" si="5"/>
        <v>TRUE</v>
      </c>
    </row>
    <row r="51" spans="1:14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6"/>
        <v>3.0627439031582697</v>
      </c>
      <c r="I51" s="1">
        <f t="shared" si="1"/>
        <v>0.88227137422551438</v>
      </c>
      <c r="J51" s="1">
        <f t="shared" si="2"/>
        <v>2.4518231324807802</v>
      </c>
      <c r="K51" s="10">
        <f t="shared" si="3"/>
        <v>0.88227137422551438</v>
      </c>
      <c r="L51" s="10">
        <f t="shared" si="4"/>
        <v>2</v>
      </c>
      <c r="M51" s="1">
        <f>IF(Normalize!G43="zona 1", 1, IF(Normalize!G43="zona 2", 2, IF(Normalize!G43="zona 3", 3, "Zona Tidak Dikenal")))</f>
        <v>2</v>
      </c>
      <c r="N51" s="1" t="str">
        <f t="shared" si="5"/>
        <v>TRUE</v>
      </c>
    </row>
    <row r="52" spans="1:14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6"/>
        <v>3.0867579488741588</v>
      </c>
      <c r="I52" s="1">
        <f t="shared" si="1"/>
        <v>0.94731345275878864</v>
      </c>
      <c r="J52" s="1">
        <f t="shared" si="2"/>
        <v>2.9076588780716235</v>
      </c>
      <c r="K52" s="10">
        <f t="shared" si="3"/>
        <v>0.94731345275878864</v>
      </c>
      <c r="L52" s="10">
        <f t="shared" si="4"/>
        <v>2</v>
      </c>
      <c r="M52" s="1">
        <f>IF(Normalize!G44="zona 1", 1, IF(Normalize!G44="zona 2", 2, IF(Normalize!G44="zona 3", 3, "Zona Tidak Dikenal")))</f>
        <v>1</v>
      </c>
      <c r="N52" s="1" t="str">
        <f t="shared" si="5"/>
        <v>FALSE</v>
      </c>
    </row>
    <row r="53" spans="1:14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6"/>
        <v>3.1406457982852252</v>
      </c>
      <c r="I53" s="1">
        <f t="shared" si="1"/>
        <v>1.595640762967794</v>
      </c>
      <c r="J53" s="1">
        <f t="shared" si="2"/>
        <v>1.8566337406394691</v>
      </c>
      <c r="K53" s="10">
        <f t="shared" si="3"/>
        <v>1.595640762967794</v>
      </c>
      <c r="L53" s="10">
        <f t="shared" si="4"/>
        <v>2</v>
      </c>
      <c r="M53" s="1">
        <f>IF(Normalize!G45="zona 1", 1, IF(Normalize!G45="zona 2", 2, IF(Normalize!G45="zona 3", 3, "Zona Tidak Dikenal")))</f>
        <v>2</v>
      </c>
      <c r="N53" s="1" t="str">
        <f t="shared" si="5"/>
        <v>TRUE</v>
      </c>
    </row>
    <row r="54" spans="1:14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6"/>
        <v>2.1673432954931711</v>
      </c>
      <c r="I54" s="1">
        <f t="shared" si="1"/>
        <v>1.005685227980295</v>
      </c>
      <c r="J54" s="1">
        <f t="shared" si="2"/>
        <v>2.6586449922294997</v>
      </c>
      <c r="K54" s="10">
        <f t="shared" si="3"/>
        <v>1.005685227980295</v>
      </c>
      <c r="L54" s="10">
        <f t="shared" si="4"/>
        <v>2</v>
      </c>
      <c r="M54" s="1">
        <f>IF(Normalize!G46="zona 1", 1, IF(Normalize!G46="zona 2", 2, IF(Normalize!G46="zona 3", 3, "Zona Tidak Dikenal")))</f>
        <v>2</v>
      </c>
      <c r="N54" s="1" t="str">
        <f t="shared" si="5"/>
        <v>TRUE</v>
      </c>
    </row>
    <row r="55" spans="1:14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6"/>
        <v>2.0946066362253313</v>
      </c>
      <c r="I55" s="1">
        <f t="shared" si="1"/>
        <v>1.3813288690404051</v>
      </c>
      <c r="J55" s="1">
        <f t="shared" si="2"/>
        <v>2.9673809523628951</v>
      </c>
      <c r="K55" s="10">
        <f t="shared" si="3"/>
        <v>1.3813288690404051</v>
      </c>
      <c r="L55" s="10">
        <f t="shared" si="4"/>
        <v>2</v>
      </c>
      <c r="M55" s="1">
        <f>IF(Normalize!G47="zona 1", 1, IF(Normalize!G47="zona 2", 2, IF(Normalize!G47="zona 3", 3, "Zona Tidak Dikenal")))</f>
        <v>1</v>
      </c>
      <c r="N55" s="1" t="str">
        <f t="shared" si="5"/>
        <v>FALSE</v>
      </c>
    </row>
    <row r="56" spans="1:14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6"/>
        <v>2.0946066362253313</v>
      </c>
      <c r="I56" s="1">
        <f t="shared" si="1"/>
        <v>1.3813288690404051</v>
      </c>
      <c r="J56" s="1">
        <f t="shared" si="2"/>
        <v>2.9673809523628951</v>
      </c>
      <c r="K56" s="10">
        <f t="shared" si="3"/>
        <v>1.3813288690404051</v>
      </c>
      <c r="L56" s="10">
        <f t="shared" si="4"/>
        <v>2</v>
      </c>
      <c r="M56" s="1">
        <f>IF(Normalize!G48="zona 1", 1, IF(Normalize!G48="zona 2", 2, IF(Normalize!G48="zona 3", 3, "Zona Tidak Dikenal")))</f>
        <v>1</v>
      </c>
      <c r="N56" s="1" t="str">
        <f t="shared" si="5"/>
        <v>FALSE</v>
      </c>
    </row>
    <row r="57" spans="1:14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6"/>
        <v>2.5426007985887824</v>
      </c>
      <c r="I57" s="1">
        <f t="shared" si="1"/>
        <v>1.6862392409672411</v>
      </c>
      <c r="J57" s="1">
        <f t="shared" si="2"/>
        <v>2.4109626751142272</v>
      </c>
      <c r="K57" s="10">
        <f t="shared" si="3"/>
        <v>1.6862392409672411</v>
      </c>
      <c r="L57" s="10">
        <f t="shared" si="4"/>
        <v>2</v>
      </c>
      <c r="M57" s="1">
        <f>IF(Normalize!G49="zona 1", 1, IF(Normalize!G49="zona 2", 2, IF(Normalize!G49="zona 3", 3, "Zona Tidak Dikenal")))</f>
        <v>1</v>
      </c>
      <c r="N57" s="1" t="str">
        <f t="shared" si="5"/>
        <v>FALSE</v>
      </c>
    </row>
    <row r="58" spans="1:14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6"/>
        <v>2.0590537977222807</v>
      </c>
      <c r="I58" s="1">
        <f t="shared" si="1"/>
        <v>1.337561005877655</v>
      </c>
      <c r="J58" s="1">
        <f t="shared" si="2"/>
        <v>2.5223612426029018</v>
      </c>
      <c r="K58" s="10">
        <f t="shared" si="3"/>
        <v>1.337561005877655</v>
      </c>
      <c r="L58" s="10">
        <f t="shared" si="4"/>
        <v>2</v>
      </c>
      <c r="M58" s="1">
        <f>IF(Normalize!G50="zona 1", 1, IF(Normalize!G50="zona 2", 2, IF(Normalize!G50="zona 3", 3, "Zona Tidak Dikenal")))</f>
        <v>2</v>
      </c>
      <c r="N58" s="1" t="str">
        <f t="shared" si="5"/>
        <v>TRUE</v>
      </c>
    </row>
    <row r="59" spans="1:14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6"/>
        <v>2.2677578789916044</v>
      </c>
      <c r="I59" s="1">
        <f t="shared" si="1"/>
        <v>1.6571268643180113</v>
      </c>
      <c r="J59" s="1">
        <f t="shared" si="2"/>
        <v>2.0460252397425394</v>
      </c>
      <c r="K59" s="10">
        <f t="shared" si="3"/>
        <v>1.6571268643180113</v>
      </c>
      <c r="L59" s="10">
        <f t="shared" si="4"/>
        <v>2</v>
      </c>
      <c r="M59" s="1">
        <f>IF(Normalize!G51="zona 1", 1, IF(Normalize!G51="zona 2", 2, IF(Normalize!G51="zona 3", 3, "Zona Tidak Dikenal")))</f>
        <v>2</v>
      </c>
      <c r="N59" s="1" t="str">
        <f t="shared" si="5"/>
        <v>TRUE</v>
      </c>
    </row>
    <row r="60" spans="1:14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6"/>
        <v>2.5974818275091218</v>
      </c>
      <c r="I60" s="1">
        <f t="shared" si="1"/>
        <v>1.7692944293638009</v>
      </c>
      <c r="J60" s="1">
        <f t="shared" si="2"/>
        <v>2.4114134721854379</v>
      </c>
      <c r="K60" s="10">
        <f t="shared" si="3"/>
        <v>1.7692944293638009</v>
      </c>
      <c r="L60" s="10">
        <f t="shared" si="4"/>
        <v>2</v>
      </c>
      <c r="M60" s="1">
        <f>IF(Normalize!G52="zona 1", 1, IF(Normalize!G52="zona 2", 2, IF(Normalize!G52="zona 3", 3, "Zona Tidak Dikenal")))</f>
        <v>1</v>
      </c>
      <c r="N60" s="1" t="str">
        <f t="shared" si="5"/>
        <v>FALSE</v>
      </c>
    </row>
    <row r="61" spans="1:14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6"/>
        <v>2.1518364752771415</v>
      </c>
      <c r="I61" s="1">
        <f t="shared" si="1"/>
        <v>1.4849476234683985</v>
      </c>
      <c r="J61" s="1">
        <f t="shared" si="2"/>
        <v>2.4432074737779406</v>
      </c>
      <c r="K61" s="10">
        <f t="shared" si="3"/>
        <v>1.4849476234683985</v>
      </c>
      <c r="L61" s="10">
        <f t="shared" si="4"/>
        <v>2</v>
      </c>
      <c r="M61" s="1">
        <f>IF(Normalize!G53="zona 1", 1, IF(Normalize!G53="zona 2", 2, IF(Normalize!G53="zona 3", 3, "Zona Tidak Dikenal")))</f>
        <v>1</v>
      </c>
      <c r="N61" s="1" t="str">
        <f t="shared" si="5"/>
        <v>FALSE</v>
      </c>
    </row>
    <row r="62" spans="1:14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6"/>
        <v>2.1925201030730967</v>
      </c>
      <c r="I62" s="1">
        <f t="shared" si="1"/>
        <v>1.047569939325188</v>
      </c>
      <c r="J62" s="1">
        <f t="shared" si="2"/>
        <v>3.0320967309786377</v>
      </c>
      <c r="K62" s="10">
        <f t="shared" si="3"/>
        <v>1.047569939325188</v>
      </c>
      <c r="L62" s="10">
        <f t="shared" si="4"/>
        <v>2</v>
      </c>
      <c r="M62" s="1">
        <f>IF(Normalize!G54="zona 1", 1, IF(Normalize!G54="zona 2", 2, IF(Normalize!G54="zona 3", 3, "Zona Tidak Dikenal")))</f>
        <v>1</v>
      </c>
      <c r="N62" s="1" t="str">
        <f t="shared" si="5"/>
        <v>FALSE</v>
      </c>
    </row>
    <row r="63" spans="1:14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6"/>
        <v>2.1925201030730967</v>
      </c>
      <c r="I63" s="1">
        <f t="shared" si="1"/>
        <v>1.047569939325188</v>
      </c>
      <c r="J63" s="1">
        <f t="shared" si="2"/>
        <v>3.0320967309786377</v>
      </c>
      <c r="K63" s="10">
        <f t="shared" si="3"/>
        <v>1.047569939325188</v>
      </c>
      <c r="L63" s="10">
        <f t="shared" si="4"/>
        <v>2</v>
      </c>
      <c r="M63" s="1">
        <f>IF(Normalize!G55="zona 1", 1, IF(Normalize!G55="zona 2", 2, IF(Normalize!G55="zona 3", 3, "Zona Tidak Dikenal")))</f>
        <v>1</v>
      </c>
      <c r="N63" s="1" t="str">
        <f t="shared" si="5"/>
        <v>FALSE</v>
      </c>
    </row>
    <row r="64" spans="1:14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6"/>
        <v>2.1549143904774133</v>
      </c>
      <c r="I64" s="1">
        <f t="shared" si="1"/>
        <v>0.98610485131033487</v>
      </c>
      <c r="J64" s="1">
        <f t="shared" si="2"/>
        <v>2.484937611658979</v>
      </c>
      <c r="K64" s="10">
        <f t="shared" si="3"/>
        <v>0.98610485131033487</v>
      </c>
      <c r="L64" s="10">
        <f t="shared" si="4"/>
        <v>2</v>
      </c>
      <c r="M64" s="1">
        <f>IF(Normalize!G56="zona 1", 1, IF(Normalize!G56="zona 2", 2, IF(Normalize!G56="zona 3", 3, "Zona Tidak Dikenal")))</f>
        <v>2</v>
      </c>
      <c r="N64" s="1" t="str">
        <f t="shared" si="5"/>
        <v>TRUE</v>
      </c>
    </row>
    <row r="65" spans="1:14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6"/>
        <v>2.1549143904774133</v>
      </c>
      <c r="I65" s="1">
        <f t="shared" si="1"/>
        <v>0.98610485131033487</v>
      </c>
      <c r="J65" s="1">
        <f t="shared" si="2"/>
        <v>2.484937611658979</v>
      </c>
      <c r="K65" s="10">
        <f t="shared" si="3"/>
        <v>0.98610485131033487</v>
      </c>
      <c r="L65" s="10">
        <f t="shared" si="4"/>
        <v>2</v>
      </c>
      <c r="M65" s="1">
        <f>IF(Normalize!G57="zona 1", 1, IF(Normalize!G57="zona 2", 2, IF(Normalize!G57="zona 3", 3, "Zona Tidak Dikenal")))</f>
        <v>2</v>
      </c>
      <c r="N65" s="1" t="str">
        <f t="shared" si="5"/>
        <v>TRUE</v>
      </c>
    </row>
    <row r="66" spans="1:14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6"/>
        <v>2.1585805483639038</v>
      </c>
      <c r="I66" s="1">
        <f t="shared" si="1"/>
        <v>0.9891424456456096</v>
      </c>
      <c r="J66" s="1">
        <f t="shared" si="2"/>
        <v>2.598185348998503</v>
      </c>
      <c r="K66" s="10">
        <f t="shared" si="3"/>
        <v>0.9891424456456096</v>
      </c>
      <c r="L66" s="10">
        <f t="shared" si="4"/>
        <v>2</v>
      </c>
      <c r="M66" s="1">
        <f>IF(Normalize!G58="zona 1", 1, IF(Normalize!G58="zona 2", 2, IF(Normalize!G58="zona 3", 3, "Zona Tidak Dikenal")))</f>
        <v>2</v>
      </c>
      <c r="N66" s="1" t="str">
        <f t="shared" si="5"/>
        <v>TRUE</v>
      </c>
    </row>
    <row r="67" spans="1:14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6"/>
        <v>2.0552101080975089</v>
      </c>
      <c r="I67" s="1">
        <f t="shared" si="1"/>
        <v>1.3353162338728772</v>
      </c>
      <c r="J67" s="1">
        <f t="shared" si="2"/>
        <v>2.4055465209120799</v>
      </c>
      <c r="K67" s="10">
        <f t="shared" si="3"/>
        <v>1.3353162338728772</v>
      </c>
      <c r="L67" s="10">
        <f t="shared" si="4"/>
        <v>2</v>
      </c>
      <c r="M67" s="1">
        <f>IF(Normalize!G59="zona 1", 1, IF(Normalize!G59="zona 2", 2, IF(Normalize!G59="zona 3", 3, "Zona Tidak Dikenal")))</f>
        <v>2</v>
      </c>
      <c r="N67" s="1" t="str">
        <f t="shared" si="5"/>
        <v>TRUE</v>
      </c>
    </row>
    <row r="68" spans="1:14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6"/>
        <v>2.1673432954931711</v>
      </c>
      <c r="I68" s="1">
        <f t="shared" si="1"/>
        <v>1.005685227980295</v>
      </c>
      <c r="J68" s="1">
        <f t="shared" si="2"/>
        <v>2.6586449922294997</v>
      </c>
      <c r="K68" s="10">
        <f t="shared" si="3"/>
        <v>1.005685227980295</v>
      </c>
      <c r="L68" s="10">
        <f t="shared" si="4"/>
        <v>2</v>
      </c>
      <c r="M68" s="1">
        <f>IF(Normalize!G60="zona 1", 1, IF(Normalize!G60="zona 2", 2, IF(Normalize!G60="zona 3", 3, "Zona Tidak Dikenal")))</f>
        <v>2</v>
      </c>
      <c r="N68" s="1" t="str">
        <f t="shared" si="5"/>
        <v>TRUE</v>
      </c>
    </row>
    <row r="69" spans="1:14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6"/>
        <v>2.1673432954931711</v>
      </c>
      <c r="I69" s="1">
        <f t="shared" si="1"/>
        <v>1.005685227980295</v>
      </c>
      <c r="J69" s="1">
        <f t="shared" si="2"/>
        <v>2.6586449922294997</v>
      </c>
      <c r="K69" s="10">
        <f t="shared" si="3"/>
        <v>1.005685227980295</v>
      </c>
      <c r="L69" s="10">
        <f t="shared" si="4"/>
        <v>2</v>
      </c>
      <c r="M69" s="1">
        <f>IF(Normalize!G61="zona 1", 1, IF(Normalize!G61="zona 2", 2, IF(Normalize!G61="zona 3", 3, "Zona Tidak Dikenal")))</f>
        <v>2</v>
      </c>
      <c r="N69" s="1" t="str">
        <f t="shared" si="5"/>
        <v>TRUE</v>
      </c>
    </row>
    <row r="70" spans="1:14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6"/>
        <v>2.0946066362253313</v>
      </c>
      <c r="I70" s="1">
        <f t="shared" si="1"/>
        <v>1.3813288690404051</v>
      </c>
      <c r="J70" s="1">
        <f t="shared" si="2"/>
        <v>2.9673809523628951</v>
      </c>
      <c r="K70" s="10">
        <f t="shared" si="3"/>
        <v>1.3813288690404051</v>
      </c>
      <c r="L70" s="10">
        <f t="shared" si="4"/>
        <v>2</v>
      </c>
      <c r="M70" s="1">
        <f>IF(Normalize!G62="zona 1", 1, IF(Normalize!G62="zona 2", 2, IF(Normalize!G62="zona 3", 3, "Zona Tidak Dikenal")))</f>
        <v>1</v>
      </c>
      <c r="N70" s="1" t="str">
        <f t="shared" si="5"/>
        <v>FALSE</v>
      </c>
    </row>
    <row r="71" spans="1:14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6"/>
        <v>2.1925201030730967</v>
      </c>
      <c r="I71" s="1">
        <f t="shared" si="1"/>
        <v>1.047569939325188</v>
      </c>
      <c r="J71" s="1">
        <f t="shared" si="2"/>
        <v>3.0320967309786377</v>
      </c>
      <c r="K71" s="10">
        <f t="shared" si="3"/>
        <v>1.047569939325188</v>
      </c>
      <c r="L71" s="10">
        <f t="shared" si="4"/>
        <v>2</v>
      </c>
      <c r="M71" s="1">
        <f>IF(Normalize!G63="zona 1", 1, IF(Normalize!G63="zona 2", 2, IF(Normalize!G63="zona 3", 3, "Zona Tidak Dikenal")))</f>
        <v>1</v>
      </c>
      <c r="N71" s="1" t="str">
        <f t="shared" si="5"/>
        <v>FALSE</v>
      </c>
    </row>
    <row r="72" spans="1:14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6"/>
        <v>2.1925201030730967</v>
      </c>
      <c r="I72" s="1">
        <f t="shared" si="1"/>
        <v>1.047569939325188</v>
      </c>
      <c r="J72" s="1">
        <f t="shared" si="2"/>
        <v>3.0320967309786377</v>
      </c>
      <c r="K72" s="10">
        <f t="shared" si="3"/>
        <v>1.047569939325188</v>
      </c>
      <c r="L72" s="10">
        <f t="shared" si="4"/>
        <v>2</v>
      </c>
      <c r="M72" s="1">
        <f>IF(Normalize!G64="zona 1", 1, IF(Normalize!G64="zona 2", 2, IF(Normalize!G64="zona 3", 3, "Zona Tidak Dikenal")))</f>
        <v>1</v>
      </c>
      <c r="N72" s="1" t="str">
        <f t="shared" si="5"/>
        <v>FALSE</v>
      </c>
    </row>
    <row r="73" spans="1:14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6"/>
        <v>3.1504049547834083</v>
      </c>
      <c r="I73" s="1">
        <f t="shared" si="1"/>
        <v>2.759541527943445</v>
      </c>
      <c r="J73" s="1">
        <f t="shared" si="2"/>
        <v>1.2452176949234508</v>
      </c>
      <c r="K73" s="10">
        <f t="shared" si="3"/>
        <v>1.2452176949234508</v>
      </c>
      <c r="L73" s="10">
        <f t="shared" si="4"/>
        <v>3</v>
      </c>
      <c r="M73" s="1">
        <f>IF(Normalize!G65="zona 1", 1, IF(Normalize!G65="zona 2", 2, IF(Normalize!G65="zona 3", 3, "Zona Tidak Dikenal")))</f>
        <v>3</v>
      </c>
      <c r="N73" s="1" t="str">
        <f t="shared" si="5"/>
        <v>TRUE</v>
      </c>
    </row>
    <row r="74" spans="1:14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6"/>
        <v>3.4370322829452111</v>
      </c>
      <c r="I74" s="1">
        <f t="shared" si="1"/>
        <v>3.0857850612841529</v>
      </c>
      <c r="J74" s="1">
        <f t="shared" si="2"/>
        <v>1.3050577778024415</v>
      </c>
      <c r="K74" s="10">
        <f t="shared" si="3"/>
        <v>1.3050577778024415</v>
      </c>
      <c r="L74" s="10">
        <f t="shared" si="4"/>
        <v>3</v>
      </c>
      <c r="M74" s="1">
        <f>IF(Normalize!G66="zona 1", 1, IF(Normalize!G66="zona 2", 2, IF(Normalize!G66="zona 3", 3, "Zona Tidak Dikenal")))</f>
        <v>3</v>
      </c>
      <c r="N74" s="1" t="str">
        <f t="shared" si="5"/>
        <v>TRUE</v>
      </c>
    </row>
    <row r="75" spans="1:14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7">SQRT((($C75-$C$2)^2)+(($D75-$D$2)^2)+(($E75-$E$2)^2)+(($F75-$F$2)^2)+(($G75-$G$2)^2))</f>
        <v>2.0946066362253313</v>
      </c>
      <c r="I75" s="1">
        <f t="shared" ref="I75:I135" si="8">SQRT((($C75-$C$3)^2)+(($D75-$D$3)^2)+(($E75-$E$3)^2)+(($F75-$F$3)^2)+(($G75-$G$3)^2))</f>
        <v>1.3813288690404051</v>
      </c>
      <c r="J75" s="1">
        <f t="shared" ref="J75:J135" si="9">SQRT((($C75-$C$4)^2)+(($D75-$D$4)^2)+(($E75-$E$4)^2)+(($F75-$F$4)^2)+(($G75-$G$4)^2))</f>
        <v>2.9673809523628951</v>
      </c>
      <c r="K75" s="10">
        <f t="shared" ref="K75:K135" si="10">MIN(H75:J75)</f>
        <v>1.3813288690404051</v>
      </c>
      <c r="L75" s="10">
        <f t="shared" ref="L75:L135" si="11">IF(K75=J75, $J$9, IF(K75=I75, $I$9, IF(K75=H75, $H$9)))</f>
        <v>2</v>
      </c>
      <c r="M75" s="1">
        <f>IF(Normalize!G67="zona 1", 1, IF(Normalize!G67="zona 2", 2, IF(Normalize!G67="zona 3", 3, "Zona Tidak Dikenal")))</f>
        <v>1</v>
      </c>
      <c r="N75" s="1" t="str">
        <f t="shared" ref="N75:N135" si="12">IF(L75=M75,"TRUE","FALSE")</f>
        <v>FALSE</v>
      </c>
    </row>
    <row r="76" spans="1:14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7"/>
        <v>2.1925201030730967</v>
      </c>
      <c r="I76" s="1">
        <f t="shared" si="8"/>
        <v>1.047569939325188</v>
      </c>
      <c r="J76" s="1">
        <f t="shared" si="9"/>
        <v>3.0320967309786377</v>
      </c>
      <c r="K76" s="10">
        <f t="shared" si="10"/>
        <v>1.047569939325188</v>
      </c>
      <c r="L76" s="10">
        <f t="shared" si="11"/>
        <v>2</v>
      </c>
      <c r="M76" s="1">
        <f>IF(Normalize!G68="zona 1", 1, IF(Normalize!G68="zona 2", 2, IF(Normalize!G68="zona 3", 3, "Zona Tidak Dikenal")))</f>
        <v>1</v>
      </c>
      <c r="N76" s="1" t="str">
        <f t="shared" si="12"/>
        <v>FALSE</v>
      </c>
    </row>
    <row r="77" spans="1:14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7"/>
        <v>2.1925201030730967</v>
      </c>
      <c r="I77" s="1">
        <f t="shared" si="8"/>
        <v>1.047569939325188</v>
      </c>
      <c r="J77" s="1">
        <f t="shared" si="9"/>
        <v>3.0320967309786377</v>
      </c>
      <c r="K77" s="10">
        <f t="shared" si="10"/>
        <v>1.047569939325188</v>
      </c>
      <c r="L77" s="10">
        <f t="shared" si="11"/>
        <v>2</v>
      </c>
      <c r="M77" s="1">
        <f>IF(Normalize!G69="zona 1", 1, IF(Normalize!G69="zona 2", 2, IF(Normalize!G69="zona 3", 3, "Zona Tidak Dikenal")))</f>
        <v>1</v>
      </c>
      <c r="N77" s="1" t="str">
        <f t="shared" si="12"/>
        <v>FALSE</v>
      </c>
    </row>
    <row r="78" spans="1:14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7"/>
        <v>2.5426007985887824</v>
      </c>
      <c r="I78" s="1">
        <f t="shared" si="8"/>
        <v>1.6862392409672411</v>
      </c>
      <c r="J78" s="1">
        <f t="shared" si="9"/>
        <v>2.4109626751142272</v>
      </c>
      <c r="K78" s="10">
        <f t="shared" si="10"/>
        <v>1.6862392409672411</v>
      </c>
      <c r="L78" s="10">
        <f t="shared" si="11"/>
        <v>2</v>
      </c>
      <c r="M78" s="1">
        <f>IF(Normalize!G70="zona 1", 1, IF(Normalize!G70="zona 2", 2, IF(Normalize!G70="zona 3", 3, "Zona Tidak Dikenal")))</f>
        <v>1</v>
      </c>
      <c r="N78" s="1" t="str">
        <f t="shared" si="12"/>
        <v>FALSE</v>
      </c>
    </row>
    <row r="79" spans="1:14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7"/>
        <v>2.0946066362253313</v>
      </c>
      <c r="I79" s="1">
        <f t="shared" si="8"/>
        <v>1.3813288690404051</v>
      </c>
      <c r="J79" s="1">
        <f t="shared" si="9"/>
        <v>2.9673809523628951</v>
      </c>
      <c r="K79" s="10">
        <f t="shared" si="10"/>
        <v>1.3813288690404051</v>
      </c>
      <c r="L79" s="10">
        <f t="shared" si="11"/>
        <v>2</v>
      </c>
      <c r="M79" s="1">
        <f>IF(Normalize!G71="zona 1", 1, IF(Normalize!G71="zona 2", 2, IF(Normalize!G71="zona 3", 3, "Zona Tidak Dikenal")))</f>
        <v>1</v>
      </c>
      <c r="N79" s="1" t="str">
        <f t="shared" si="12"/>
        <v>FALSE</v>
      </c>
    </row>
    <row r="80" spans="1:14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7"/>
        <v>2.3195689721008841</v>
      </c>
      <c r="I80" s="1">
        <f t="shared" si="8"/>
        <v>1.3222718244664284</v>
      </c>
      <c r="J80" s="1">
        <f t="shared" si="9"/>
        <v>2.1615518125146238</v>
      </c>
      <c r="K80" s="10">
        <f t="shared" si="10"/>
        <v>1.3222718244664284</v>
      </c>
      <c r="L80" s="10">
        <f t="shared" si="11"/>
        <v>2</v>
      </c>
      <c r="M80" s="1">
        <f>IF(Normalize!G72="zona 1", 1, IF(Normalize!G72="zona 2", 2, IF(Normalize!G72="zona 3", 3, "Zona Tidak Dikenal")))</f>
        <v>2</v>
      </c>
      <c r="N80" s="1" t="str">
        <f t="shared" si="12"/>
        <v>TRUE</v>
      </c>
    </row>
    <row r="81" spans="1:14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7"/>
        <v>2.3584938498094425</v>
      </c>
      <c r="I81" s="1">
        <f t="shared" si="8"/>
        <v>1.391187542273786</v>
      </c>
      <c r="J81" s="1">
        <f t="shared" si="9"/>
        <v>2.138803439128695</v>
      </c>
      <c r="K81" s="10">
        <f t="shared" si="10"/>
        <v>1.391187542273786</v>
      </c>
      <c r="L81" s="10">
        <f t="shared" si="11"/>
        <v>2</v>
      </c>
      <c r="M81" s="1">
        <f>IF(Normalize!G73="zona 1", 1, IF(Normalize!G73="zona 2", 2, IF(Normalize!G73="zona 3", 3, "Zona Tidak Dikenal")))</f>
        <v>2</v>
      </c>
      <c r="N81" s="1" t="str">
        <f t="shared" si="12"/>
        <v>TRUE</v>
      </c>
    </row>
    <row r="82" spans="1:14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7"/>
        <v>2.0946066362253313</v>
      </c>
      <c r="I82" s="1">
        <f t="shared" si="8"/>
        <v>1.3813288690404051</v>
      </c>
      <c r="J82" s="1">
        <f t="shared" si="9"/>
        <v>2.9673809523628951</v>
      </c>
      <c r="K82" s="10">
        <f t="shared" si="10"/>
        <v>1.3813288690404051</v>
      </c>
      <c r="L82" s="10">
        <f t="shared" si="11"/>
        <v>2</v>
      </c>
      <c r="M82" s="1">
        <f>IF(Normalize!G74="zona 1", 1, IF(Normalize!G74="zona 2", 2, IF(Normalize!G74="zona 3", 3, "Zona Tidak Dikenal")))</f>
        <v>1</v>
      </c>
      <c r="N82" s="1" t="str">
        <f t="shared" si="12"/>
        <v>FALSE</v>
      </c>
    </row>
    <row r="83" spans="1:14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7"/>
        <v>2.1585805483639038</v>
      </c>
      <c r="I83" s="1">
        <f t="shared" si="8"/>
        <v>0.9891424456456096</v>
      </c>
      <c r="J83" s="1">
        <f t="shared" si="9"/>
        <v>2.598185348998503</v>
      </c>
      <c r="K83" s="10">
        <f t="shared" si="10"/>
        <v>0.9891424456456096</v>
      </c>
      <c r="L83" s="10">
        <f t="shared" si="11"/>
        <v>2</v>
      </c>
      <c r="M83" s="1">
        <f>IF(Normalize!G75="zona 1", 1, IF(Normalize!G75="zona 2", 2, IF(Normalize!G75="zona 3", 3, "Zona Tidak Dikenal")))</f>
        <v>2</v>
      </c>
      <c r="N83" s="1" t="str">
        <f t="shared" si="12"/>
        <v>TRUE</v>
      </c>
    </row>
    <row r="84" spans="1:14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7"/>
        <v>1.4443732792535056</v>
      </c>
      <c r="I84" s="1">
        <f t="shared" si="8"/>
        <v>1.8158752098582596</v>
      </c>
      <c r="J84" s="1">
        <f t="shared" si="9"/>
        <v>3.4543799763190428</v>
      </c>
      <c r="K84" s="10">
        <f t="shared" si="10"/>
        <v>1.4443732792535056</v>
      </c>
      <c r="L84" s="10">
        <f t="shared" si="11"/>
        <v>1</v>
      </c>
      <c r="M84" s="1">
        <f>IF(Normalize!G76="zona 1", 1, IF(Normalize!G76="zona 2", 2, IF(Normalize!G76="zona 3", 3, "Zona Tidak Dikenal")))</f>
        <v>1</v>
      </c>
      <c r="N84" s="1" t="str">
        <f t="shared" si="12"/>
        <v>TRUE</v>
      </c>
    </row>
    <row r="85" spans="1:14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7"/>
        <v>1.2476695420264912</v>
      </c>
      <c r="I85" s="1">
        <f t="shared" si="8"/>
        <v>2.0055097717150234</v>
      </c>
      <c r="J85" s="1">
        <f t="shared" si="9"/>
        <v>3.0690817453962329</v>
      </c>
      <c r="K85" s="10">
        <f t="shared" si="10"/>
        <v>1.2476695420264912</v>
      </c>
      <c r="L85" s="10">
        <f t="shared" si="11"/>
        <v>1</v>
      </c>
      <c r="M85" s="1">
        <f>IF(Normalize!G77="zona 1", 1, IF(Normalize!G77="zona 2", 2, IF(Normalize!G77="zona 3", 3, "Zona Tidak Dikenal")))</f>
        <v>2</v>
      </c>
      <c r="N85" s="1" t="str">
        <f t="shared" si="12"/>
        <v>FALSE</v>
      </c>
    </row>
    <row r="86" spans="1:14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7"/>
        <v>3.4096552690180357</v>
      </c>
      <c r="I86" s="1">
        <f t="shared" si="8"/>
        <v>3.6118420200470811</v>
      </c>
      <c r="J86" s="1">
        <f t="shared" si="9"/>
        <v>2.300595796917388</v>
      </c>
      <c r="K86" s="10">
        <f t="shared" si="10"/>
        <v>2.300595796917388</v>
      </c>
      <c r="L86" s="10">
        <f t="shared" si="11"/>
        <v>3</v>
      </c>
      <c r="M86" s="1">
        <f>IF(Normalize!G78="zona 1", 1, IF(Normalize!G78="zona 2", 2, IF(Normalize!G78="zona 3", 3, "Zona Tidak Dikenal")))</f>
        <v>3</v>
      </c>
      <c r="N86" s="1" t="str">
        <f t="shared" si="12"/>
        <v>TRUE</v>
      </c>
    </row>
    <row r="87" spans="1:14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7"/>
        <v>1.3818357296636288</v>
      </c>
      <c r="I87" s="1">
        <f t="shared" si="8"/>
        <v>2.0988257298890836</v>
      </c>
      <c r="J87" s="1">
        <f t="shared" si="9"/>
        <v>2.9509986775169845</v>
      </c>
      <c r="K87" s="10">
        <f t="shared" si="10"/>
        <v>1.3818357296636288</v>
      </c>
      <c r="L87" s="10">
        <f t="shared" si="11"/>
        <v>1</v>
      </c>
      <c r="M87" s="1">
        <f>IF(Normalize!G79="zona 1", 1, IF(Normalize!G79="zona 2", 2, IF(Normalize!G79="zona 3", 3, "Zona Tidak Dikenal")))</f>
        <v>1</v>
      </c>
      <c r="N87" s="1" t="str">
        <f t="shared" si="12"/>
        <v>TRUE</v>
      </c>
    </row>
    <row r="88" spans="1:14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7"/>
        <v>1.2476695420264912</v>
      </c>
      <c r="I88" s="1">
        <f t="shared" si="8"/>
        <v>2.0055097717150234</v>
      </c>
      <c r="J88" s="1">
        <f t="shared" si="9"/>
        <v>3.0690817453962329</v>
      </c>
      <c r="K88" s="10">
        <f t="shared" si="10"/>
        <v>1.2476695420264912</v>
      </c>
      <c r="L88" s="10">
        <f t="shared" si="11"/>
        <v>1</v>
      </c>
      <c r="M88" s="1">
        <f>IF(Normalize!G80="zona 1", 1, IF(Normalize!G80="zona 2", 2, IF(Normalize!G80="zona 3", 3, "Zona Tidak Dikenal")))</f>
        <v>2</v>
      </c>
      <c r="N88" s="1" t="str">
        <f t="shared" si="12"/>
        <v>FALSE</v>
      </c>
    </row>
    <row r="89" spans="1:14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7"/>
        <v>1.2323848057146796</v>
      </c>
      <c r="I89" s="1">
        <f t="shared" si="8"/>
        <v>1.9972654917272379</v>
      </c>
      <c r="J89" s="1">
        <f t="shared" si="9"/>
        <v>3.0168587426274809</v>
      </c>
      <c r="K89" s="10">
        <f t="shared" si="10"/>
        <v>1.2323848057146796</v>
      </c>
      <c r="L89" s="10">
        <f t="shared" si="11"/>
        <v>1</v>
      </c>
      <c r="M89" s="1">
        <f>IF(Normalize!G81="zona 1", 1, IF(Normalize!G81="zona 2", 2, IF(Normalize!G81="zona 3", 3, "Zona Tidak Dikenal")))</f>
        <v>2</v>
      </c>
      <c r="N89" s="1" t="str">
        <f t="shared" si="12"/>
        <v>FALSE</v>
      </c>
    </row>
    <row r="90" spans="1:14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7"/>
        <v>3.7598157095556592</v>
      </c>
      <c r="I90" s="1">
        <f t="shared" si="8"/>
        <v>4.1000084688259415</v>
      </c>
      <c r="J90" s="1">
        <f t="shared" si="9"/>
        <v>2.4123148136021517</v>
      </c>
      <c r="K90" s="10">
        <f t="shared" si="10"/>
        <v>2.4123148136021517</v>
      </c>
      <c r="L90" s="10">
        <f t="shared" si="11"/>
        <v>3</v>
      </c>
      <c r="M90" s="1">
        <f>IF(Normalize!G82="zona 1", 1, IF(Normalize!G82="zona 2", 2, IF(Normalize!G82="zona 3", 3, "Zona Tidak Dikenal")))</f>
        <v>3</v>
      </c>
      <c r="N90" s="1" t="str">
        <f t="shared" si="12"/>
        <v>TRUE</v>
      </c>
    </row>
    <row r="91" spans="1:14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7"/>
        <v>1.2909092640310005</v>
      </c>
      <c r="I91" s="1">
        <f t="shared" si="8"/>
        <v>2.0268373009307989</v>
      </c>
      <c r="J91" s="1">
        <f t="shared" si="9"/>
        <v>3.3977169027493641</v>
      </c>
      <c r="K91" s="10">
        <f t="shared" si="10"/>
        <v>1.2909092640310005</v>
      </c>
      <c r="L91" s="10">
        <f t="shared" si="11"/>
        <v>1</v>
      </c>
      <c r="M91" s="1">
        <f>IF(Normalize!G83="zona 1", 1, IF(Normalize!G83="zona 2", 2, IF(Normalize!G83="zona 3", 3, "Zona Tidak Dikenal")))</f>
        <v>1</v>
      </c>
      <c r="N91" s="1" t="str">
        <f t="shared" si="12"/>
        <v>TRUE</v>
      </c>
    </row>
    <row r="92" spans="1:14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7"/>
        <v>1.2476695420264912</v>
      </c>
      <c r="I92" s="1">
        <f t="shared" si="8"/>
        <v>2.0055097717150234</v>
      </c>
      <c r="J92" s="1">
        <f t="shared" si="9"/>
        <v>3.0690817453962329</v>
      </c>
      <c r="K92" s="10">
        <f t="shared" si="10"/>
        <v>1.2476695420264912</v>
      </c>
      <c r="L92" s="10">
        <f t="shared" si="11"/>
        <v>1</v>
      </c>
      <c r="M92" s="1">
        <f>IF(Normalize!G84="zona 1", 1, IF(Normalize!G84="zona 2", 2, IF(Normalize!G84="zona 3", 3, "Zona Tidak Dikenal")))</f>
        <v>2</v>
      </c>
      <c r="N92" s="1" t="str">
        <f t="shared" si="12"/>
        <v>FALSE</v>
      </c>
    </row>
    <row r="93" spans="1:14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7"/>
        <v>1.3818357296636288</v>
      </c>
      <c r="I93" s="1">
        <f t="shared" si="8"/>
        <v>2.0988257298890836</v>
      </c>
      <c r="J93" s="1">
        <f t="shared" si="9"/>
        <v>2.9509986775169845</v>
      </c>
      <c r="K93" s="10">
        <f t="shared" si="10"/>
        <v>1.3818357296636288</v>
      </c>
      <c r="L93" s="10">
        <f t="shared" si="11"/>
        <v>1</v>
      </c>
      <c r="M93" s="1">
        <f>IF(Normalize!G85="zona 1", 1, IF(Normalize!G85="zona 2", 2, IF(Normalize!G85="zona 3", 3, "Zona Tidak Dikenal")))</f>
        <v>1</v>
      </c>
      <c r="N93" s="1" t="str">
        <f t="shared" si="12"/>
        <v>TRUE</v>
      </c>
    </row>
    <row r="94" spans="1:14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7"/>
        <v>1.3923145302757109</v>
      </c>
      <c r="I94" s="1">
        <f t="shared" si="8"/>
        <v>1.7828075548913793</v>
      </c>
      <c r="J94" s="1">
        <f t="shared" si="9"/>
        <v>3.0805352688344736</v>
      </c>
      <c r="K94" s="10">
        <f t="shared" si="10"/>
        <v>1.3923145302757109</v>
      </c>
      <c r="L94" s="10">
        <f t="shared" si="11"/>
        <v>1</v>
      </c>
      <c r="M94" s="1">
        <f>IF(Normalize!G86="zona 1", 1, IF(Normalize!G86="zona 2", 2, IF(Normalize!G86="zona 3", 3, "Zona Tidak Dikenal")))</f>
        <v>2</v>
      </c>
      <c r="N94" s="1" t="str">
        <f t="shared" si="12"/>
        <v>FALSE</v>
      </c>
    </row>
    <row r="95" spans="1:14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7"/>
        <v>1.4314345487991911</v>
      </c>
      <c r="I95" s="1">
        <f t="shared" si="8"/>
        <v>1.8202754675536827</v>
      </c>
      <c r="J95" s="1">
        <f t="shared" si="9"/>
        <v>2.8636632322517381</v>
      </c>
      <c r="K95" s="10">
        <f t="shared" si="10"/>
        <v>1.4314345487991911</v>
      </c>
      <c r="L95" s="10">
        <f t="shared" si="11"/>
        <v>1</v>
      </c>
      <c r="M95" s="1">
        <f>IF(Normalize!G87="zona 1", 1, IF(Normalize!G87="zona 2", 2, IF(Normalize!G87="zona 3", 3, "Zona Tidak Dikenal")))</f>
        <v>2</v>
      </c>
      <c r="N95" s="1" t="str">
        <f t="shared" si="12"/>
        <v>FALSE</v>
      </c>
    </row>
    <row r="96" spans="1:14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7"/>
        <v>1.4314345487991911</v>
      </c>
      <c r="I96" s="1">
        <f t="shared" si="8"/>
        <v>1.8202754675536827</v>
      </c>
      <c r="J96" s="1">
        <f t="shared" si="9"/>
        <v>2.8636632322517381</v>
      </c>
      <c r="K96" s="10">
        <f t="shared" si="10"/>
        <v>1.4314345487991911</v>
      </c>
      <c r="L96" s="10">
        <f t="shared" si="11"/>
        <v>1</v>
      </c>
      <c r="M96" s="1">
        <f>IF(Normalize!G88="zona 1", 1, IF(Normalize!G88="zona 2", 2, IF(Normalize!G88="zona 3", 3, "Zona Tidak Dikenal")))</f>
        <v>2</v>
      </c>
      <c r="N96" s="1" t="str">
        <f t="shared" si="12"/>
        <v>FALSE</v>
      </c>
    </row>
    <row r="97" spans="1:14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7"/>
        <v>1.4058615607381331</v>
      </c>
      <c r="I97" s="1">
        <f t="shared" si="8"/>
        <v>1.7920387210598376</v>
      </c>
      <c r="J97" s="1">
        <f t="shared" si="9"/>
        <v>3.1316966055940991</v>
      </c>
      <c r="K97" s="10">
        <f t="shared" si="10"/>
        <v>1.4058615607381331</v>
      </c>
      <c r="L97" s="10">
        <f t="shared" si="11"/>
        <v>1</v>
      </c>
      <c r="M97" s="1">
        <f>IF(Normalize!G89="zona 1", 1, IF(Normalize!G89="zona 2", 2, IF(Normalize!G89="zona 3", 3, "Zona Tidak Dikenal")))</f>
        <v>2</v>
      </c>
      <c r="N97" s="1" t="str">
        <f t="shared" si="12"/>
        <v>FALSE</v>
      </c>
    </row>
    <row r="98" spans="1:14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7"/>
        <v>1.3923145302757109</v>
      </c>
      <c r="I98" s="1">
        <f t="shared" si="8"/>
        <v>1.7828075548913793</v>
      </c>
      <c r="J98" s="1">
        <f t="shared" si="9"/>
        <v>3.0805352688344736</v>
      </c>
      <c r="K98" s="10">
        <f t="shared" si="10"/>
        <v>1.3923145302757109</v>
      </c>
      <c r="L98" s="10">
        <f t="shared" si="11"/>
        <v>1</v>
      </c>
      <c r="M98" s="1">
        <f>IF(Normalize!G90="zona 1", 1, IF(Normalize!G90="zona 2", 2, IF(Normalize!G90="zona 3", 3, "Zona Tidak Dikenal")))</f>
        <v>2</v>
      </c>
      <c r="N98" s="1" t="str">
        <f t="shared" si="12"/>
        <v>FALSE</v>
      </c>
    </row>
    <row r="99" spans="1:14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7"/>
        <v>4.1742210227257628</v>
      </c>
      <c r="I99" s="1">
        <f t="shared" si="8"/>
        <v>4.3458489133629321</v>
      </c>
      <c r="J99" s="1">
        <f t="shared" si="9"/>
        <v>2.7092678577692864</v>
      </c>
      <c r="K99" s="10">
        <f t="shared" si="10"/>
        <v>2.7092678577692864</v>
      </c>
      <c r="L99" s="10">
        <f t="shared" si="11"/>
        <v>3</v>
      </c>
      <c r="M99" s="1">
        <f>IF(Normalize!G91="zona 1", 1, IF(Normalize!G91="zona 2", 2, IF(Normalize!G91="zona 3", 3, "Zona Tidak Dikenal")))</f>
        <v>3</v>
      </c>
      <c r="N99" s="1" t="str">
        <f t="shared" si="12"/>
        <v>TRUE</v>
      </c>
    </row>
    <row r="100" spans="1:14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7"/>
        <v>4.595035767510983</v>
      </c>
      <c r="I100" s="1">
        <f t="shared" si="8"/>
        <v>4.7539880918843052</v>
      </c>
      <c r="J100" s="1">
        <f t="shared" si="9"/>
        <v>3.002484793273303</v>
      </c>
      <c r="K100" s="10">
        <f t="shared" si="10"/>
        <v>3.002484793273303</v>
      </c>
      <c r="L100" s="10">
        <f t="shared" si="11"/>
        <v>3</v>
      </c>
      <c r="M100" s="1">
        <f>IF(Normalize!G92="zona 1", 1, IF(Normalize!G92="zona 2", 2, IF(Normalize!G92="zona 3", 3, "Zona Tidak Dikenal")))</f>
        <v>3</v>
      </c>
      <c r="N100" s="1" t="str">
        <f t="shared" si="12"/>
        <v>TRUE</v>
      </c>
    </row>
    <row r="101" spans="1:14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7"/>
        <v>1.2476695420264912</v>
      </c>
      <c r="I101" s="1">
        <f t="shared" si="8"/>
        <v>2.0055097717150234</v>
      </c>
      <c r="J101" s="1">
        <f t="shared" si="9"/>
        <v>3.0690817453962329</v>
      </c>
      <c r="K101" s="10">
        <f t="shared" si="10"/>
        <v>1.2476695420264912</v>
      </c>
      <c r="L101" s="10">
        <f t="shared" si="11"/>
        <v>1</v>
      </c>
      <c r="M101" s="1">
        <f>IF(Normalize!G93="zona 1", 1, IF(Normalize!G93="zona 2", 2, IF(Normalize!G93="zona 3", 3, "Zona Tidak Dikenal")))</f>
        <v>2</v>
      </c>
      <c r="N101" s="1" t="str">
        <f t="shared" si="12"/>
        <v>FALSE</v>
      </c>
    </row>
    <row r="102" spans="1:14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7"/>
        <v>1.2909092640310005</v>
      </c>
      <c r="I102" s="1">
        <f t="shared" si="8"/>
        <v>2.0268373009307989</v>
      </c>
      <c r="J102" s="1">
        <f t="shared" si="9"/>
        <v>3.3977169027493641</v>
      </c>
      <c r="K102" s="10">
        <f t="shared" si="10"/>
        <v>1.2909092640310005</v>
      </c>
      <c r="L102" s="10">
        <f t="shared" si="11"/>
        <v>1</v>
      </c>
      <c r="M102" s="1">
        <f>IF(Normalize!G94="zona 1", 1, IF(Normalize!G94="zona 2", 2, IF(Normalize!G94="zona 3", 3, "Zona Tidak Dikenal")))</f>
        <v>1</v>
      </c>
      <c r="N102" s="1" t="str">
        <f t="shared" si="12"/>
        <v>TRUE</v>
      </c>
    </row>
    <row r="103" spans="1:14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7"/>
        <v>4.8441938617092442</v>
      </c>
      <c r="I103" s="1">
        <f t="shared" si="8"/>
        <v>5.1184049707349697</v>
      </c>
      <c r="J103" s="1">
        <f t="shared" si="9"/>
        <v>3.1664892332474794</v>
      </c>
      <c r="K103" s="10">
        <f t="shared" si="10"/>
        <v>3.1664892332474794</v>
      </c>
      <c r="L103" s="10">
        <f t="shared" si="11"/>
        <v>3</v>
      </c>
      <c r="M103" s="1">
        <f>IF(Normalize!G95="zona 1", 1, IF(Normalize!G95="zona 2", 2, IF(Normalize!G95="zona 3", 3, "Zona Tidak Dikenal")))</f>
        <v>3</v>
      </c>
      <c r="N103" s="1" t="str">
        <f t="shared" si="12"/>
        <v>TRUE</v>
      </c>
    </row>
    <row r="104" spans="1:14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7"/>
        <v>1.3923145302757109</v>
      </c>
      <c r="I104" s="1">
        <f t="shared" si="8"/>
        <v>1.7828075548913793</v>
      </c>
      <c r="J104" s="1">
        <f t="shared" si="9"/>
        <v>3.0805352688344736</v>
      </c>
      <c r="K104" s="10">
        <f t="shared" si="10"/>
        <v>1.3923145302757109</v>
      </c>
      <c r="L104" s="10">
        <f t="shared" si="11"/>
        <v>1</v>
      </c>
      <c r="M104" s="1">
        <f>IF(Normalize!G96="zona 1", 1, IF(Normalize!G96="zona 2", 2, IF(Normalize!G96="zona 3", 3, "Zona Tidak Dikenal")))</f>
        <v>2</v>
      </c>
      <c r="N104" s="1" t="str">
        <f t="shared" si="12"/>
        <v>FALSE</v>
      </c>
    </row>
    <row r="105" spans="1:14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7"/>
        <v>2.8935260910503242</v>
      </c>
      <c r="I105" s="1">
        <f t="shared" si="8"/>
        <v>3.9864858515294448</v>
      </c>
      <c r="J105" s="1">
        <f t="shared" si="9"/>
        <v>3.8409863060680971</v>
      </c>
      <c r="K105" s="10">
        <f t="shared" si="10"/>
        <v>2.8935260910503242</v>
      </c>
      <c r="L105" s="10">
        <f t="shared" si="11"/>
        <v>1</v>
      </c>
      <c r="M105" s="1">
        <f>IF(Normalize!G97="zona 1", 1, IF(Normalize!G97="zona 2", 2, IF(Normalize!G97="zona 3", 3, "Zona Tidak Dikenal")))</f>
        <v>1</v>
      </c>
      <c r="N105" s="1" t="str">
        <f t="shared" si="12"/>
        <v>TRUE</v>
      </c>
    </row>
    <row r="106" spans="1:14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7"/>
        <v>5.300695893985921</v>
      </c>
      <c r="I106" s="1">
        <f t="shared" si="8"/>
        <v>5.8777889361372759</v>
      </c>
      <c r="J106" s="1">
        <f t="shared" si="9"/>
        <v>4.2179381088820129</v>
      </c>
      <c r="K106" s="10">
        <f t="shared" si="10"/>
        <v>4.2179381088820129</v>
      </c>
      <c r="L106" s="10">
        <f t="shared" si="11"/>
        <v>3</v>
      </c>
      <c r="M106" s="1">
        <f>IF(Normalize!G98="zona 1", 1, IF(Normalize!G98="zona 2", 2, IF(Normalize!G98="zona 3", 3, "Zona Tidak Dikenal")))</f>
        <v>3</v>
      </c>
      <c r="N106" s="1" t="str">
        <f t="shared" si="12"/>
        <v>TRUE</v>
      </c>
    </row>
    <row r="107" spans="1:14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7"/>
        <v>3.1810017776411899</v>
      </c>
      <c r="I107" s="1">
        <f t="shared" si="8"/>
        <v>4.2015555981617618</v>
      </c>
      <c r="J107" s="1">
        <f t="shared" si="9"/>
        <v>3.9572335718950278</v>
      </c>
      <c r="K107" s="10">
        <f t="shared" si="10"/>
        <v>3.1810017776411899</v>
      </c>
      <c r="L107" s="10">
        <f t="shared" si="11"/>
        <v>1</v>
      </c>
      <c r="M107" s="1">
        <f>IF(Normalize!G99="zona 1", 1, IF(Normalize!G99="zona 2", 2, IF(Normalize!G99="zona 3", 3, "Zona Tidak Dikenal")))</f>
        <v>1</v>
      </c>
      <c r="N107" s="1" t="str">
        <f t="shared" si="12"/>
        <v>TRUE</v>
      </c>
    </row>
    <row r="108" spans="1:14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7"/>
        <v>5.8096495697511648</v>
      </c>
      <c r="I108" s="1">
        <f t="shared" si="8"/>
        <v>6.4394929493279545</v>
      </c>
      <c r="J108" s="1">
        <f t="shared" si="9"/>
        <v>4.5718564561430144</v>
      </c>
      <c r="K108" s="10">
        <f t="shared" si="10"/>
        <v>4.5718564561430144</v>
      </c>
      <c r="L108" s="10">
        <f t="shared" si="11"/>
        <v>3</v>
      </c>
      <c r="M108" s="1">
        <f>IF(Normalize!G100="zona 1", 1, IF(Normalize!G100="zona 2", 2, IF(Normalize!G100="zona 3", 3, "Zona Tidak Dikenal")))</f>
        <v>3</v>
      </c>
      <c r="N108" s="1" t="str">
        <f t="shared" si="12"/>
        <v>TRUE</v>
      </c>
    </row>
    <row r="109" spans="1:14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7"/>
        <v>0.97237672504175077</v>
      </c>
      <c r="I109" s="1">
        <f t="shared" si="8"/>
        <v>2.8823721904786073</v>
      </c>
      <c r="J109" s="1">
        <f t="shared" si="9"/>
        <v>4.0352956008217467</v>
      </c>
      <c r="K109" s="10">
        <f t="shared" si="10"/>
        <v>0.97237672504175077</v>
      </c>
      <c r="L109" s="10">
        <f t="shared" si="11"/>
        <v>1</v>
      </c>
      <c r="M109" s="1">
        <f>IF(Normalize!G101="zona 1", 1, IF(Normalize!G101="zona 2", 2, IF(Normalize!G101="zona 3", 3, "Zona Tidak Dikenal")))</f>
        <v>1</v>
      </c>
      <c r="N109" s="1" t="str">
        <f t="shared" si="12"/>
        <v>TRUE</v>
      </c>
    </row>
    <row r="110" spans="1:14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7"/>
        <v>6.2273537799015459</v>
      </c>
      <c r="I110" s="1">
        <f t="shared" si="8"/>
        <v>6.7292943744331595</v>
      </c>
      <c r="J110" s="1">
        <f t="shared" si="9"/>
        <v>4.9155611094557612</v>
      </c>
      <c r="K110" s="10">
        <f t="shared" si="10"/>
        <v>4.9155611094557612</v>
      </c>
      <c r="L110" s="10">
        <f t="shared" si="11"/>
        <v>3</v>
      </c>
      <c r="M110" s="1">
        <f>IF(Normalize!G102="zona 1", 1, IF(Normalize!G102="zona 2", 2, IF(Normalize!G102="zona 3", 3, "Zona Tidak Dikenal")))</f>
        <v>3</v>
      </c>
      <c r="N110" s="1" t="str">
        <f t="shared" si="12"/>
        <v>TRUE</v>
      </c>
    </row>
    <row r="111" spans="1:14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7"/>
        <v>4.2366265905193892</v>
      </c>
      <c r="I111" s="1">
        <f t="shared" si="8"/>
        <v>5.0584651273330374</v>
      </c>
      <c r="J111" s="1">
        <f t="shared" si="9"/>
        <v>3.7041283870501127</v>
      </c>
      <c r="K111" s="10">
        <f t="shared" si="10"/>
        <v>3.7041283870501127</v>
      </c>
      <c r="L111" s="10">
        <f t="shared" si="11"/>
        <v>3</v>
      </c>
      <c r="M111" s="1">
        <f>IF(Normalize!G103="zona 1", 1, IF(Normalize!G103="zona 2", 2, IF(Normalize!G103="zona 3", 3, "Zona Tidak Dikenal")))</f>
        <v>3</v>
      </c>
      <c r="N111" s="1" t="str">
        <f t="shared" si="12"/>
        <v>TRUE</v>
      </c>
    </row>
    <row r="112" spans="1:14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7"/>
        <v>0.89322006067836912</v>
      </c>
      <c r="I112" s="1">
        <f t="shared" si="8"/>
        <v>2.8616550184193144</v>
      </c>
      <c r="J112" s="1">
        <f t="shared" si="9"/>
        <v>3.7202912665207375</v>
      </c>
      <c r="K112" s="10">
        <f t="shared" si="10"/>
        <v>0.89322006067836912</v>
      </c>
      <c r="L112" s="10">
        <f t="shared" si="11"/>
        <v>1</v>
      </c>
      <c r="M112" s="1">
        <f>IF(Normalize!G104="zona 1", 1, IF(Normalize!G104="zona 2", 2, IF(Normalize!G104="zona 3", 3, "Zona Tidak Dikenal")))</f>
        <v>2</v>
      </c>
      <c r="N112" s="1" t="str">
        <f t="shared" si="12"/>
        <v>FALSE</v>
      </c>
    </row>
    <row r="113" spans="1:14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7"/>
        <v>1.1684536521674216</v>
      </c>
      <c r="I113" s="1">
        <f t="shared" si="8"/>
        <v>2.7381385607338755</v>
      </c>
      <c r="J113" s="1">
        <f t="shared" si="9"/>
        <v>4.0831203087316146</v>
      </c>
      <c r="K113" s="10">
        <f t="shared" si="10"/>
        <v>1.1684536521674216</v>
      </c>
      <c r="L113" s="10">
        <f t="shared" si="11"/>
        <v>1</v>
      </c>
      <c r="M113" s="1">
        <f>IF(Normalize!G105="zona 1", 1, IF(Normalize!G105="zona 2", 2, IF(Normalize!G105="zona 3", 3, "Zona Tidak Dikenal")))</f>
        <v>1</v>
      </c>
      <c r="N113" s="1" t="str">
        <f t="shared" si="12"/>
        <v>TRUE</v>
      </c>
    </row>
    <row r="114" spans="1:14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7"/>
        <v>1.1684536521674216</v>
      </c>
      <c r="I114" s="1">
        <f t="shared" si="8"/>
        <v>2.7381385607338755</v>
      </c>
      <c r="J114" s="1">
        <f t="shared" si="9"/>
        <v>4.0831203087316146</v>
      </c>
      <c r="K114" s="10">
        <f t="shared" si="10"/>
        <v>1.1684536521674216</v>
      </c>
      <c r="L114" s="10">
        <f t="shared" si="11"/>
        <v>1</v>
      </c>
      <c r="M114" s="1">
        <f>IF(Normalize!G106="zona 1", 1, IF(Normalize!G106="zona 2", 2, IF(Normalize!G106="zona 3", 3, "Zona Tidak Dikenal")))</f>
        <v>1</v>
      </c>
      <c r="N114" s="1" t="str">
        <f t="shared" si="12"/>
        <v>TRUE</v>
      </c>
    </row>
    <row r="115" spans="1:14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7"/>
        <v>1.0962643682845679</v>
      </c>
      <c r="I115" s="1">
        <f t="shared" si="8"/>
        <v>2.7152168933213749</v>
      </c>
      <c r="J115" s="1">
        <f t="shared" si="9"/>
        <v>3.6950204063580823</v>
      </c>
      <c r="K115" s="10">
        <f t="shared" si="10"/>
        <v>1.0962643682845679</v>
      </c>
      <c r="L115" s="10">
        <f t="shared" si="11"/>
        <v>1</v>
      </c>
      <c r="M115" s="1">
        <f>IF(Normalize!G107="zona 1", 1, IF(Normalize!G107="zona 2", 2, IF(Normalize!G107="zona 3", 3, "Zona Tidak Dikenal")))</f>
        <v>2</v>
      </c>
      <c r="N115" s="1" t="str">
        <f t="shared" si="12"/>
        <v>FALSE</v>
      </c>
    </row>
    <row r="116" spans="1:14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7"/>
        <v>1.1204983245872886</v>
      </c>
      <c r="I116" s="1">
        <f t="shared" si="8"/>
        <v>2.7223891672165057</v>
      </c>
      <c r="J116" s="1">
        <f t="shared" si="9"/>
        <v>3.8140076119840418</v>
      </c>
      <c r="K116" s="10">
        <f t="shared" si="10"/>
        <v>1.1204983245872886</v>
      </c>
      <c r="L116" s="10">
        <f t="shared" si="11"/>
        <v>1</v>
      </c>
      <c r="M116" s="1">
        <f>IF(Normalize!G108="zona 1", 1, IF(Normalize!G108="zona 2", 2, IF(Normalize!G108="zona 3", 3, "Zona Tidak Dikenal")))</f>
        <v>2</v>
      </c>
      <c r="N116" s="1" t="str">
        <f t="shared" si="12"/>
        <v>FALSE</v>
      </c>
    </row>
    <row r="117" spans="1:14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7"/>
        <v>1.1684536521674216</v>
      </c>
      <c r="I117" s="1">
        <f t="shared" si="8"/>
        <v>2.7381385607338755</v>
      </c>
      <c r="J117" s="1">
        <f t="shared" si="9"/>
        <v>4.0831203087316146</v>
      </c>
      <c r="K117" s="10">
        <f t="shared" si="10"/>
        <v>1.1684536521674216</v>
      </c>
      <c r="L117" s="10">
        <f t="shared" si="11"/>
        <v>1</v>
      </c>
      <c r="M117" s="1">
        <f>IF(Normalize!G109="zona 1", 1, IF(Normalize!G109="zona 2", 2, IF(Normalize!G109="zona 3", 3, "Zona Tidak Dikenal")))</f>
        <v>1</v>
      </c>
      <c r="N117" s="1" t="str">
        <f t="shared" si="12"/>
        <v>TRUE</v>
      </c>
    </row>
    <row r="118" spans="1:14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7"/>
        <v>1.1684536521674216</v>
      </c>
      <c r="I118" s="1">
        <f t="shared" si="8"/>
        <v>2.7381385607338755</v>
      </c>
      <c r="J118" s="1">
        <f t="shared" si="9"/>
        <v>4.0831203087316146</v>
      </c>
      <c r="K118" s="10">
        <f t="shared" si="10"/>
        <v>1.1684536521674216</v>
      </c>
      <c r="L118" s="10">
        <f t="shared" si="11"/>
        <v>1</v>
      </c>
      <c r="M118" s="1">
        <f>IF(Normalize!G110="zona 1", 1, IF(Normalize!G110="zona 2", 2, IF(Normalize!G110="zona 3", 3, "Zona Tidak Dikenal")))</f>
        <v>1</v>
      </c>
      <c r="N118" s="1" t="str">
        <f t="shared" si="12"/>
        <v>TRUE</v>
      </c>
    </row>
    <row r="119" spans="1:14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7"/>
        <v>0.97237672504175077</v>
      </c>
      <c r="I119" s="1">
        <f t="shared" si="8"/>
        <v>2.8823721904786073</v>
      </c>
      <c r="J119" s="1">
        <f t="shared" si="9"/>
        <v>4.0352956008217467</v>
      </c>
      <c r="K119" s="10">
        <f t="shared" si="10"/>
        <v>0.97237672504175077</v>
      </c>
      <c r="L119" s="10">
        <f t="shared" si="11"/>
        <v>1</v>
      </c>
      <c r="M119" s="1">
        <f>IF(Normalize!G111="zona 1", 1, IF(Normalize!G111="zona 2", 2, IF(Normalize!G111="zona 3", 3, "Zona Tidak Dikenal")))</f>
        <v>1</v>
      </c>
      <c r="N119" s="1" t="str">
        <f t="shared" si="12"/>
        <v>TRUE</v>
      </c>
    </row>
    <row r="120" spans="1:14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7"/>
        <v>0.97237672504175077</v>
      </c>
      <c r="I120" s="1">
        <f t="shared" si="8"/>
        <v>2.8823721904786073</v>
      </c>
      <c r="J120" s="1">
        <f t="shared" si="9"/>
        <v>4.0352956008217467</v>
      </c>
      <c r="K120" s="10">
        <f t="shared" si="10"/>
        <v>0.97237672504175077</v>
      </c>
      <c r="L120" s="10">
        <f t="shared" si="11"/>
        <v>1</v>
      </c>
      <c r="M120" s="1">
        <f>IF(Normalize!G112="zona 1", 1, IF(Normalize!G112="zona 2", 2, IF(Normalize!G112="zona 3", 3, "Zona Tidak Dikenal")))</f>
        <v>1</v>
      </c>
      <c r="N120" s="1" t="str">
        <f t="shared" si="12"/>
        <v>TRUE</v>
      </c>
    </row>
    <row r="121" spans="1:14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7"/>
        <v>1.1204983245872886</v>
      </c>
      <c r="I121" s="1">
        <f t="shared" si="8"/>
        <v>2.7223891672165057</v>
      </c>
      <c r="J121" s="1">
        <f t="shared" si="9"/>
        <v>3.8140076119840418</v>
      </c>
      <c r="K121" s="10">
        <f t="shared" si="10"/>
        <v>1.1204983245872886</v>
      </c>
      <c r="L121" s="10">
        <f t="shared" si="11"/>
        <v>1</v>
      </c>
      <c r="M121" s="1">
        <f>IF(Normalize!G113="zona 1", 1, IF(Normalize!G113="zona 2", 2, IF(Normalize!G113="zona 3", 3, "Zona Tidak Dikenal")))</f>
        <v>2</v>
      </c>
      <c r="N121" s="1" t="str">
        <f t="shared" si="12"/>
        <v>FALSE</v>
      </c>
    </row>
    <row r="122" spans="1:14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7"/>
        <v>1.1684536521674216</v>
      </c>
      <c r="I122" s="1">
        <f t="shared" si="8"/>
        <v>2.7381385607338755</v>
      </c>
      <c r="J122" s="1">
        <f t="shared" si="9"/>
        <v>4.0831203087316146</v>
      </c>
      <c r="K122" s="10">
        <f t="shared" si="10"/>
        <v>1.1684536521674216</v>
      </c>
      <c r="L122" s="10">
        <f t="shared" si="11"/>
        <v>1</v>
      </c>
      <c r="M122" s="1">
        <f>IF(Normalize!G114="zona 1", 1, IF(Normalize!G114="zona 2", 2, IF(Normalize!G114="zona 3", 3, "Zona Tidak Dikenal")))</f>
        <v>1</v>
      </c>
      <c r="N122" s="1" t="str">
        <f t="shared" si="12"/>
        <v>TRUE</v>
      </c>
    </row>
    <row r="123" spans="1:14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7"/>
        <v>0.97237672504175077</v>
      </c>
      <c r="I123" s="1">
        <f t="shared" si="8"/>
        <v>2.8823721904786073</v>
      </c>
      <c r="J123" s="1">
        <f t="shared" si="9"/>
        <v>4.0352956008217467</v>
      </c>
      <c r="K123" s="10">
        <f t="shared" si="10"/>
        <v>0.97237672504175077</v>
      </c>
      <c r="L123" s="10">
        <f t="shared" si="11"/>
        <v>1</v>
      </c>
      <c r="M123" s="1">
        <f>IF(Normalize!G115="zona 1", 1, IF(Normalize!G115="zona 2", 2, IF(Normalize!G115="zona 3", 3, "Zona Tidak Dikenal")))</f>
        <v>1</v>
      </c>
      <c r="N123" s="1" t="str">
        <f t="shared" si="12"/>
        <v>TRUE</v>
      </c>
    </row>
    <row r="124" spans="1:14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7"/>
        <v>0.97237672504175077</v>
      </c>
      <c r="I124" s="1">
        <f t="shared" si="8"/>
        <v>2.8823721904786073</v>
      </c>
      <c r="J124" s="1">
        <f t="shared" si="9"/>
        <v>4.0352956008217467</v>
      </c>
      <c r="K124" s="10">
        <f t="shared" si="10"/>
        <v>0.97237672504175077</v>
      </c>
      <c r="L124" s="10">
        <f t="shared" si="11"/>
        <v>1</v>
      </c>
      <c r="M124" s="1">
        <f>IF(Normalize!G116="zona 1", 1, IF(Normalize!G116="zona 2", 2, IF(Normalize!G116="zona 3", 3, "Zona Tidak Dikenal")))</f>
        <v>1</v>
      </c>
      <c r="N124" s="1" t="str">
        <f t="shared" si="12"/>
        <v>TRUE</v>
      </c>
    </row>
    <row r="125" spans="1:14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7"/>
        <v>0.97237672504175077</v>
      </c>
      <c r="I125" s="1">
        <f t="shared" si="8"/>
        <v>2.8823721904786073</v>
      </c>
      <c r="J125" s="1">
        <f t="shared" si="9"/>
        <v>4.0352956008217467</v>
      </c>
      <c r="K125" s="10">
        <f t="shared" si="10"/>
        <v>0.97237672504175077</v>
      </c>
      <c r="L125" s="10">
        <f t="shared" si="11"/>
        <v>1</v>
      </c>
      <c r="M125" s="1">
        <f>IF(Normalize!G117="zona 1", 1, IF(Normalize!G117="zona 2", 2, IF(Normalize!G117="zona 3", 3, "Zona Tidak Dikenal")))</f>
        <v>1</v>
      </c>
      <c r="N125" s="1" t="str">
        <f t="shared" si="12"/>
        <v>TRUE</v>
      </c>
    </row>
    <row r="126" spans="1:14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7"/>
        <v>1.4915046975604138</v>
      </c>
      <c r="I126" s="1">
        <f t="shared" si="8"/>
        <v>3.8089459755218957</v>
      </c>
      <c r="J126" s="1">
        <f t="shared" si="9"/>
        <v>4.798201852860501</v>
      </c>
      <c r="K126" s="10">
        <f t="shared" si="10"/>
        <v>1.4915046975604138</v>
      </c>
      <c r="L126" s="10">
        <f t="shared" si="11"/>
        <v>1</v>
      </c>
      <c r="M126" s="1">
        <f>IF(Normalize!G118="zona 1", 1, IF(Normalize!G118="zona 2", 2, IF(Normalize!G118="zona 3", 3, "Zona Tidak Dikenal")))</f>
        <v>1</v>
      </c>
      <c r="N126" s="1" t="str">
        <f t="shared" si="12"/>
        <v>TRUE</v>
      </c>
    </row>
    <row r="127" spans="1:14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7"/>
        <v>1.6261468890310145</v>
      </c>
      <c r="I127" s="1">
        <f t="shared" si="8"/>
        <v>3.7010002401753201</v>
      </c>
      <c r="J127" s="1">
        <f t="shared" si="9"/>
        <v>4.8384916958034729</v>
      </c>
      <c r="K127" s="10">
        <f t="shared" si="10"/>
        <v>1.6261468890310145</v>
      </c>
      <c r="L127" s="10">
        <f t="shared" si="11"/>
        <v>1</v>
      </c>
      <c r="M127" s="1">
        <f>IF(Normalize!G119="zona 1", 1, IF(Normalize!G119="zona 2", 2, IF(Normalize!G119="zona 3", 3, "Zona Tidak Dikenal")))</f>
        <v>1</v>
      </c>
      <c r="N127" s="1" t="str">
        <f t="shared" si="12"/>
        <v>TRUE</v>
      </c>
    </row>
    <row r="128" spans="1:14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7"/>
        <v>1.4411494871248194</v>
      </c>
      <c r="I128" s="1">
        <f t="shared" si="8"/>
        <v>3.7932926916393419</v>
      </c>
      <c r="J128" s="1">
        <f t="shared" si="9"/>
        <v>4.5364851529056152</v>
      </c>
      <c r="K128" s="10">
        <f t="shared" si="10"/>
        <v>1.4411494871248194</v>
      </c>
      <c r="L128" s="10">
        <f t="shared" si="11"/>
        <v>1</v>
      </c>
      <c r="M128" s="1">
        <f>IF(Normalize!G120="zona 1", 1, IF(Normalize!G120="zona 2", 2, IF(Normalize!G120="zona 3", 3, "Zona Tidak Dikenal")))</f>
        <v>2</v>
      </c>
      <c r="N128" s="1" t="str">
        <f t="shared" si="12"/>
        <v>FALSE</v>
      </c>
    </row>
    <row r="129" spans="1:14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7"/>
        <v>1.5800883792056049</v>
      </c>
      <c r="I129" s="1">
        <f t="shared" si="8"/>
        <v>3.6848884349160125</v>
      </c>
      <c r="J129" s="1">
        <f t="shared" si="9"/>
        <v>4.5790783365321781</v>
      </c>
      <c r="K129" s="10">
        <f t="shared" si="10"/>
        <v>1.5800883792056049</v>
      </c>
      <c r="L129" s="10">
        <f t="shared" si="11"/>
        <v>1</v>
      </c>
      <c r="M129" s="1">
        <f>IF(Normalize!G121="zona 1", 1, IF(Normalize!G121="zona 2", 2, IF(Normalize!G121="zona 3", 3, "Zona Tidak Dikenal")))</f>
        <v>2</v>
      </c>
      <c r="N129" s="1" t="str">
        <f t="shared" si="12"/>
        <v>FALSE</v>
      </c>
    </row>
    <row r="130" spans="1:14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7"/>
        <v>1.4411494871248194</v>
      </c>
      <c r="I130" s="1">
        <f t="shared" si="8"/>
        <v>3.7932926916393419</v>
      </c>
      <c r="J130" s="1">
        <f t="shared" si="9"/>
        <v>4.5364851529056152</v>
      </c>
      <c r="K130" s="10">
        <f t="shared" si="10"/>
        <v>1.4411494871248194</v>
      </c>
      <c r="L130" s="10">
        <f t="shared" si="11"/>
        <v>1</v>
      </c>
      <c r="M130" s="1">
        <f>IF(Normalize!G122="zona 1", 1, IF(Normalize!G122="zona 2", 2, IF(Normalize!G122="zona 3", 3, "Zona Tidak Dikenal")))</f>
        <v>2</v>
      </c>
      <c r="N130" s="1" t="str">
        <f t="shared" si="12"/>
        <v>FALSE</v>
      </c>
    </row>
    <row r="131" spans="1:14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7"/>
        <v>3.9812269036307915</v>
      </c>
      <c r="I131" s="1">
        <f t="shared" si="8"/>
        <v>5.2061888918649295</v>
      </c>
      <c r="J131" s="1">
        <f t="shared" si="9"/>
        <v>5.0139936502893354</v>
      </c>
      <c r="K131" s="10">
        <f t="shared" si="10"/>
        <v>3.9812269036307915</v>
      </c>
      <c r="L131" s="10">
        <f t="shared" si="11"/>
        <v>1</v>
      </c>
      <c r="M131" s="1">
        <f>IF(Normalize!G123="zona 1", 1, IF(Normalize!G123="zona 2", 2, IF(Normalize!G123="zona 3", 3, "Zona Tidak Dikenal")))</f>
        <v>1</v>
      </c>
      <c r="N131" s="1" t="str">
        <f t="shared" si="12"/>
        <v>TRUE</v>
      </c>
    </row>
    <row r="132" spans="1:14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7"/>
        <v>1.6261468890310145</v>
      </c>
      <c r="I132" s="1">
        <f t="shared" si="8"/>
        <v>3.7010002401753201</v>
      </c>
      <c r="J132" s="1">
        <f t="shared" si="9"/>
        <v>4.8384916958034729</v>
      </c>
      <c r="K132" s="10">
        <f t="shared" si="10"/>
        <v>1.6261468890310145</v>
      </c>
      <c r="L132" s="10">
        <f t="shared" si="11"/>
        <v>1</v>
      </c>
      <c r="M132" s="1">
        <f>IF(Normalize!G124="zona 1", 1, IF(Normalize!G124="zona 2", 2, IF(Normalize!G124="zona 3", 3, "Zona Tidak Dikenal")))</f>
        <v>1</v>
      </c>
      <c r="N132" s="1" t="str">
        <f t="shared" si="12"/>
        <v>TRUE</v>
      </c>
    </row>
    <row r="133" spans="1:14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7"/>
        <v>1.4915046975604138</v>
      </c>
      <c r="I133" s="1">
        <f t="shared" si="8"/>
        <v>3.8089459755218957</v>
      </c>
      <c r="J133" s="1">
        <f t="shared" si="9"/>
        <v>4.798201852860501</v>
      </c>
      <c r="K133" s="10">
        <f t="shared" si="10"/>
        <v>1.4915046975604138</v>
      </c>
      <c r="L133" s="10">
        <f t="shared" si="11"/>
        <v>1</v>
      </c>
      <c r="M133" s="1">
        <f>IF(Normalize!G125="zona 1", 1, IF(Normalize!G125="zona 2", 2, IF(Normalize!G125="zona 3", 3, "Zona Tidak Dikenal")))</f>
        <v>1</v>
      </c>
      <c r="N133" s="1" t="str">
        <f t="shared" si="12"/>
        <v>TRUE</v>
      </c>
    </row>
    <row r="134" spans="1:14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7"/>
        <v>1.4915046975604138</v>
      </c>
      <c r="I134" s="1">
        <f t="shared" si="8"/>
        <v>3.8089459755218957</v>
      </c>
      <c r="J134" s="1">
        <f t="shared" si="9"/>
        <v>4.798201852860501</v>
      </c>
      <c r="K134" s="10">
        <f t="shared" si="10"/>
        <v>1.4915046975604138</v>
      </c>
      <c r="L134" s="10">
        <f t="shared" si="11"/>
        <v>1</v>
      </c>
      <c r="M134" s="1">
        <f>IF(Normalize!G126="zona 1", 1, IF(Normalize!G126="zona 2", 2, IF(Normalize!G126="zona 3", 3, "Zona Tidak Dikenal")))</f>
        <v>1</v>
      </c>
      <c r="N134" s="1" t="str">
        <f t="shared" si="12"/>
        <v>TRUE</v>
      </c>
    </row>
    <row r="135" spans="1:14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7"/>
        <v>1.4915046975604138</v>
      </c>
      <c r="I135" s="1">
        <f t="shared" si="8"/>
        <v>3.8089459755218957</v>
      </c>
      <c r="J135" s="1">
        <f t="shared" si="9"/>
        <v>4.798201852860501</v>
      </c>
      <c r="K135" s="10">
        <f t="shared" si="10"/>
        <v>1.4915046975604138</v>
      </c>
      <c r="L135" s="10">
        <f t="shared" si="11"/>
        <v>1</v>
      </c>
      <c r="M135" s="1">
        <f>IF(Normalize!G127="zona 1", 1, IF(Normalize!G127="zona 2", 2, IF(Normalize!G127="zona 3", 3, "Zona Tidak Dikenal")))</f>
        <v>1</v>
      </c>
      <c r="N135" s="1" t="str">
        <f t="shared" si="12"/>
        <v>TRUE</v>
      </c>
    </row>
  </sheetData>
  <mergeCells count="9">
    <mergeCell ref="M8:M9"/>
    <mergeCell ref="N8:N9"/>
    <mergeCell ref="O8:O9"/>
    <mergeCell ref="H1:J1"/>
    <mergeCell ref="B8:B9"/>
    <mergeCell ref="C8:G8"/>
    <mergeCell ref="H8:J8"/>
    <mergeCell ref="K8:K9"/>
    <mergeCell ref="L8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10</vt:i4>
      </vt:variant>
    </vt:vector>
  </HeadingPairs>
  <TitlesOfParts>
    <vt:vector size="10" baseType="lpstr">
      <vt:lpstr>Normalize</vt:lpstr>
      <vt:lpstr>centeroid awal</vt:lpstr>
      <vt:lpstr>iterasi 1</vt:lpstr>
      <vt:lpstr>iterasi 2</vt:lpstr>
      <vt:lpstr>iterasi 3</vt:lpstr>
      <vt:lpstr>iterasi 4</vt:lpstr>
      <vt:lpstr>iterasi 5</vt:lpstr>
      <vt:lpstr>iterasi 6</vt:lpstr>
      <vt:lpstr>iterasi 7</vt:lpstr>
      <vt:lpstr>iterasi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Macintosh</cp:lastModifiedBy>
  <dcterms:created xsi:type="dcterms:W3CDTF">2026-06-06T15:31:39Z</dcterms:created>
  <dcterms:modified xsi:type="dcterms:W3CDTF">2026-06-25T05:05:28Z</dcterms:modified>
</cp:coreProperties>
</file>